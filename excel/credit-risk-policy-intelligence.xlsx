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8061d7a6d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94cc153a664094"/>
    <x:sheet xmlns:r="http://schemas.openxmlformats.org/officeDocument/2006/relationships" name="Monthly Data" sheetId="2" r:id="R1d54bc8a07ed4968"/>
    <x:sheet xmlns:r="http://schemas.openxmlformats.org/officeDocument/2006/relationships" name="Policy Lab" sheetId="3" r:id="Ra9b09ed14126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#,##0.00"/>
    <x:numFmt numFmtId="202" formatCode="#,##0"/>
    <x:numFmt numFmtId="203" formatCode="#,##0.0"/>
    <x:numFmt numFmtId="204" formatCode="&quot;$&quot;#,##0"/>
    <x:numFmt numFmtId="205" formatCode="0.0%"/>
  </x:numFmts>
  <x:fonts count="8">
    <x:font>
      <x:sz val="11"/>
      <x:name val="Carlito"/>
    </x:font>
    <x:font>
      <x:sz val="10"/>
      <x:color rgb="FF182C45"/>
      <x:name val="Arial"/>
    </x:font>
    <x:font>
      <x:b/>
      <x:sz val="16"/>
      <x:color rgb="FF17365D"/>
      <x:name val="Arial"/>
    </x:font>
    <x:font>
      <x:i/>
      <x:sz val="10"/>
      <x:color rgb="FF63758A"/>
      <x:name val="Arial"/>
    </x:font>
    <x:font>
      <x:b/>
      <x:sz val="10"/>
      <x:color rgb="FFFFFFFF"/>
      <x:name val="Arial"/>
    </x:font>
    <x:font>
      <x:sz val="10"/>
      <x:color rgb="FF1A50AF"/>
      <x:name val="Arial"/>
    </x:font>
    <x:font>
      <x:i/>
      <x:sz val="10"/>
      <x:color rgb="FF182C45"/>
      <x:name val="Arial"/>
    </x:font>
    <x:font>
      <x:b/>
      <x:sz val="10"/>
      <x:color rgb="FF6375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B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C0D2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2e10e1d854527" /><Relationship Type="http://schemas.openxmlformats.org/officeDocument/2006/relationships/theme" Target="/xl/theme/theme1.xml" Id="Rc678b823edfd489d" /><Relationship Type="http://schemas.openxmlformats.org/officeDocument/2006/relationships/sharedStrings" Target="/xl/sharedStrings.xml" Id="R419f683f00164bea" /><Relationship Type="http://schemas.openxmlformats.org/officeDocument/2006/relationships/worksheet" Target="/xl/worksheets/sheet1.xml" Id="Rf894cc153a664094" /><Relationship Type="http://schemas.openxmlformats.org/officeDocument/2006/relationships/worksheet" Target="/xl/worksheets/sheet2.xml" Id="R1d54bc8a07ed4968" /><Relationship Type="http://schemas.openxmlformats.org/officeDocument/2006/relationships/worksheet" Target="/xl/worksheets/sheet3.xml" Id="Ra9b09ed1412649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79507f253543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Applications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Applications</c:v>
          </c:tx>
          <c:spPr>
            <a:solidFill xmlns:a="http://schemas.openxmlformats.org/drawingml/2006/main">
              <a:srgbClr val="2474A6"/>
            </a:solidFill>
            <a:ln xmlns:a="http://schemas.openxmlformats.org/drawingml/2006/main" w="19050">
              <a:solidFill>
                <a:srgbClr val="2474A6"/>
              </a:solidFill>
              <a:prstDash val="solid"/>
            </a:ln>
          </c:spPr>
          <c:marker>
            <c:symbol val="none"/>
          </c:marker>
          <c:cat>
            <c:strRef>
              <c:f>'Dashboard'!$A$23:$A$28</c:f>
              <c:strCache>
                <c:ptCount val="0"/>
              </c:strCache>
            </c:strRef>
          </c:cat>
          <c:val>
            <c:numRef>
              <c:f>'Dashboard'!$B$23:$B$28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79507f253543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5:H23" headerRowCount="1" totalsRowCount="0" totalsRowShown="0">
  <x:tableColumns count="8">
    <x:tableColumn id="1" name="month"/>
    <x:tableColumn id="2" name="segment"/>
    <x:tableColumn id="3" name="applications"/>
    <x:tableColumn id="4" name="defaults"/>
    <x:tableColumn id="5" name="approved"/>
    <x:tableColumn id="6" name="approved_defaults"/>
    <x:tableColumn id="7" name="funded_amount"/>
    <x:tableColumn id="8" name="contrib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yApplications" displayName="PolicyApplications" ref="A12:I2489" headerRowCount="1" totalsRowCount="0" totalsRowShown="0">
  <x:tableColumns count="9">
    <x:tableColumn id="1" name="ID"/>
    <x:tableColumn id="2" name="Origination month"/>
    <x:tableColumn id="3" name="Employment"/>
    <x:tableColumn id="4" name="Audit group"/>
    <x:tableColumn id="5" name="Loan USD"/>
    <x:tableColumn id="6" name="Default 12m"/>
    <x:tableColumn id="7" name="Predicted PD"/>
    <x:tableColumn id="8" name="Approved"/>
    <x:tableColumn id="9" name="Policy contrib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d657a276ad48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0fca54f1543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0c77e73654c6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Credit Risk &amp; Policy Intelligence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 t="str">
        <x:v>Synthetic portfolio data. USD monetary values. Select a segment to update formulas and charts.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2" customHeight="1">
      <x:c r="A5" s="2" t="str">
        <x:v>Segment</x:v>
      </x:c>
      <x:c r="B5" s="17" t="str">
        <x:v>All</x:v>
      </x:c>
      <x:c r="C5" s="2"/>
      <x:c r="D5" s="2"/>
      <x:c r="E5" s="2"/>
      <x:c r="F5" s="2"/>
      <x:c r="G5" s="18" t="str">
        <x:v>Editable controls are amber.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0" t="str">
        <x:v>Applications</x:v>
      </x:c>
      <x:c r="B7" s="2"/>
      <x:c r="C7" s="2"/>
      <x:c r="D7" s="2"/>
      <x:c r="E7" s="20" t="str">
        <x:v>Default rate</x:v>
      </x:c>
      <x:c r="F7" s="2"/>
      <x:c r="G7" s="2"/>
      <x:c r="H7" s="2"/>
      <x:c r="I7" s="20" t="str">
        <x:v>Approval rate</x:v>
      </x:c>
      <x:c r="J7" s="2"/>
      <x:c r="K7" s="2"/>
      <x:c r="L7" s="2"/>
      <x:c r="M7" s="20" t="str">
        <x:v>Policy contribution</x:v>
      </x:c>
      <x:c r="N7" s="2"/>
      <x:c r="O7" s="2"/>
      <x:c r="P7" s="2"/>
      <x:c r="Q7" s="2"/>
    </x:row>
    <x:row r="8" ht="22" customHeight="1">
      <x:c r="A8" s="21" t="n">
        <x:f>SUM(B13:B18)</x:f>
        <x:v>2477</x:v>
      </x:c>
      <x:c r="B8" s="2"/>
      <x:c r="C8" s="2"/>
      <x:c r="D8" s="2"/>
      <x:c r="E8" s="22" t="n">
        <x:f>IF(SUM(B13:B18)=0,"n.a.",SUM(C13:C18)/SUM(B13:B18))</x:f>
        <x:v>0.2753330641905531</x:v>
      </x:c>
      <x:c r="F8" s="2"/>
      <x:c r="G8" s="2"/>
      <x:c r="H8" s="2"/>
      <x:c r="I8" s="22" t="n">
        <x:f>IF(SUM(B13:B18)=0,"n.a.",SUM(D13:D18)/SUM(B13:B18))</x:f>
        <x:v>0.421881308033912</x:v>
      </x:c>
      <x:c r="J8" s="2"/>
      <x:c r="K8" s="2"/>
      <x:c r="L8" s="2"/>
      <x:c r="M8" s="23" t="n">
        <x:f>SUM(E13:E18)</x:f>
        <x:v>419269.6848</x:v>
      </x:c>
      <x:c r="N8" s="2"/>
      <x:c r="O8" s="2"/>
      <x:c r="P8" s="2"/>
      <x:c r="Q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6" customHeight="1">
      <x:c r="A12" s="12" t="str">
        <x:v>Month</x:v>
      </x:c>
      <x:c r="B12" s="12" t="str">
        <x:v>applications</x:v>
      </x:c>
      <x:c r="C12" s="12" t="str">
        <x:v>defaults</x:v>
      </x:c>
      <x:c r="D12" s="12" t="str">
        <x:v>approved</x:v>
      </x:c>
      <x:c r="E12" s="12" t="str">
        <x:v>contribution</x:v>
      </x:c>
      <x:c r="F12" s="12" t="str">
        <x:v>Default rate</x:v>
      </x:c>
      <x:c r="G12" s="12" t="str">
        <x:v>Approval rate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10" t="d">
        <x:v>2024-07-01T00:00:00.000Z</x:v>
      </x:c>
      <x:c r="B13" s="13" t="n">
        <x:f>IF($B$5="All",SUMIFS('Monthly Data'!$C$6:$C$23,'Monthly Data'!$A$6:$A$23,$A13),SUMIFS('Monthly Data'!$C$6:$C$23,'Monthly Data'!$A$6:$A$23,$A13,'Monthly Data'!$B$6:$B$23,$B$5))</x:f>
        <x:v>391</x:v>
      </x:c>
      <x:c r="C13" s="13" t="n">
        <x:f>IF($B$5="All",SUMIFS('Monthly Data'!$D$6:$D$23,'Monthly Data'!$A$6:$A$23,$A13),SUMIFS('Monthly Data'!$D$6:$D$23,'Monthly Data'!$A$6:$A$23,$A13,'Monthly Data'!$B$6:$B$23,$B$5))</x:f>
        <x:v>101</x:v>
      </x:c>
      <x:c r="D13" s="13" t="n">
        <x:f>IF($B$5="All",SUMIFS('Monthly Data'!$E$6:$E$23,'Monthly Data'!$A$6:$A$23,$A13),SUMIFS('Monthly Data'!$E$6:$E$23,'Monthly Data'!$A$6:$A$23,$A13,'Monthly Data'!$B$6:$B$23,$B$5))</x:f>
        <x:v>167</x:v>
      </x:c>
      <x:c r="E13" s="15" t="n">
        <x:f>IF($B$5="All",SUMIFS('Monthly Data'!$H$6:$H$23,'Monthly Data'!$A$6:$A$23,$A13),SUMIFS('Monthly Data'!$H$6:$H$23,'Monthly Data'!$A$6:$A$23,$A13,'Monthly Data'!$B$6:$B$23,$B$5))</x:f>
        <x:v>24009.7367</x:v>
      </x:c>
      <x:c r="F13" s="19" t="n">
        <x:f>IF(B13=0,"n.a.",C13/B13)</x:f>
        <x:v>0.25831202046035806</x:v>
      </x:c>
      <x:c r="G13" s="19" t="n">
        <x:f>IF(B13=0,"n.a.",D13/B13)</x:f>
        <x:v>0.42710997442455245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10" t="d">
        <x:v>2024-08-01T00:00:00.000Z</x:v>
      </x:c>
      <x:c r="B14" s="13" t="n">
        <x:f>IF($B$5="All",SUMIFS('Monthly Data'!$C$6:$C$23,'Monthly Data'!$A$6:$A$23,$A14),SUMIFS('Monthly Data'!$C$6:$C$23,'Monthly Data'!$A$6:$A$23,$A14,'Monthly Data'!$B$6:$B$23,$B$5))</x:f>
        <x:v>430</x:v>
      </x:c>
      <x:c r="C14" s="13" t="n">
        <x:f>IF($B$5="All",SUMIFS('Monthly Data'!$D$6:$D$23,'Monthly Data'!$A$6:$A$23,$A14),SUMIFS('Monthly Data'!$D$6:$D$23,'Monthly Data'!$A$6:$A$23,$A14,'Monthly Data'!$B$6:$B$23,$B$5))</x:f>
        <x:v>107</x:v>
      </x:c>
      <x:c r="D14" s="13" t="n">
        <x:f>IF($B$5="All",SUMIFS('Monthly Data'!$E$6:$E$23,'Monthly Data'!$A$6:$A$23,$A14),SUMIFS('Monthly Data'!$E$6:$E$23,'Monthly Data'!$A$6:$A$23,$A14,'Monthly Data'!$B$6:$B$23,$B$5))</x:f>
        <x:v>183</x:v>
      </x:c>
      <x:c r="E14" s="15" t="n">
        <x:f>IF($B$5="All",SUMIFS('Monthly Data'!$H$6:$H$23,'Monthly Data'!$A$6:$A$23,$A14),SUMIFS('Monthly Data'!$H$6:$H$23,'Monthly Data'!$A$6:$A$23,$A14,'Monthly Data'!$B$6:$B$23,$B$5))</x:f>
        <x:v>56227.3357</x:v>
      </x:c>
      <x:c r="F14" s="19" t="n">
        <x:f>IF(B14=0,"n.a.",C14/B14)</x:f>
        <x:v>0.24883720930232558</x:v>
      </x:c>
      <x:c r="G14" s="19" t="n">
        <x:f>IF(B14=0,"n.a.",D14/B14)</x:f>
        <x:v>0.4255813953488372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10" t="d">
        <x:v>2024-09-01T00:00:00.000Z</x:v>
      </x:c>
      <x:c r="B15" s="13" t="n">
        <x:f>IF($B$5="All",SUMIFS('Monthly Data'!$C$6:$C$23,'Monthly Data'!$A$6:$A$23,$A15),SUMIFS('Monthly Data'!$C$6:$C$23,'Monthly Data'!$A$6:$A$23,$A15,'Monthly Data'!$B$6:$B$23,$B$5))</x:f>
        <x:v>378</x:v>
      </x:c>
      <x:c r="C15" s="13" t="n">
        <x:f>IF($B$5="All",SUMIFS('Monthly Data'!$D$6:$D$23,'Monthly Data'!$A$6:$A$23,$A15),SUMIFS('Monthly Data'!$D$6:$D$23,'Monthly Data'!$A$6:$A$23,$A15,'Monthly Data'!$B$6:$B$23,$B$5))</x:f>
        <x:v>95</x:v>
      </x:c>
      <x:c r="D15" s="13" t="n">
        <x:f>IF($B$5="All",SUMIFS('Monthly Data'!$E$6:$E$23,'Monthly Data'!$A$6:$A$23,$A15),SUMIFS('Monthly Data'!$E$6:$E$23,'Monthly Data'!$A$6:$A$23,$A15,'Monthly Data'!$B$6:$B$23,$B$5))</x:f>
        <x:v>151</x:v>
      </x:c>
      <x:c r="E15" s="15" t="n">
        <x:f>IF($B$5="All",SUMIFS('Monthly Data'!$H$6:$H$23,'Monthly Data'!$A$6:$A$23,$A15),SUMIFS('Monthly Data'!$H$6:$H$23,'Monthly Data'!$A$6:$A$23,$A15,'Monthly Data'!$B$6:$B$23,$B$5))</x:f>
        <x:v>156549.38559999998</x:v>
      </x:c>
      <x:c r="F15" s="19" t="n">
        <x:f>IF(B15=0,"n.a.",C15/B15)</x:f>
        <x:v>0.25132275132275134</x:v>
      </x:c>
      <x:c r="G15" s="19" t="n">
        <x:f>IF(B15=0,"n.a.",D15/B15)</x:f>
        <x:v>0.3994708994708995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10" t="d">
        <x:v>2024-10-01T00:00:00.000Z</x:v>
      </x:c>
      <x:c r="B16" s="13" t="n">
        <x:f>IF($B$5="All",SUMIFS('Monthly Data'!$C$6:$C$23,'Monthly Data'!$A$6:$A$23,$A16),SUMIFS('Monthly Data'!$C$6:$C$23,'Monthly Data'!$A$6:$A$23,$A16,'Monthly Data'!$B$6:$B$23,$B$5))</x:f>
        <x:v>414</x:v>
      </x:c>
      <x:c r="C16" s="13" t="n">
        <x:f>IF($B$5="All",SUMIFS('Monthly Data'!$D$6:$D$23,'Monthly Data'!$A$6:$A$23,$A16),SUMIFS('Monthly Data'!$D$6:$D$23,'Monthly Data'!$A$6:$A$23,$A16,'Monthly Data'!$B$6:$B$23,$B$5))</x:f>
        <x:v>129</x:v>
      </x:c>
      <x:c r="D16" s="13" t="n">
        <x:f>IF($B$5="All",SUMIFS('Monthly Data'!$E$6:$E$23,'Monthly Data'!$A$6:$A$23,$A16),SUMIFS('Monthly Data'!$E$6:$E$23,'Monthly Data'!$A$6:$A$23,$A16,'Monthly Data'!$B$6:$B$23,$B$5))</x:f>
        <x:v>173</x:v>
      </x:c>
      <x:c r="E16" s="15" t="n">
        <x:f>IF($B$5="All",SUMIFS('Monthly Data'!$H$6:$H$23,'Monthly Data'!$A$6:$A$23,$A16),SUMIFS('Monthly Data'!$H$6:$H$23,'Monthly Data'!$A$6:$A$23,$A16,'Monthly Data'!$B$6:$B$23,$B$5))</x:f>
        <x:v>-20885.7887</x:v>
      </x:c>
      <x:c r="F16" s="19" t="n">
        <x:f>IF(B16=0,"n.a.",C16/B16)</x:f>
        <x:v>0.3115942028985507</x:v>
      </x:c>
      <x:c r="G16" s="19" t="n">
        <x:f>IF(B16=0,"n.a.",D16/B16)</x:f>
        <x:v>0.4178743961352657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10" t="d">
        <x:v>2024-11-01T00:00:00.000Z</x:v>
      </x:c>
      <x:c r="B17" s="13" t="n">
        <x:f>IF($B$5="All",SUMIFS('Monthly Data'!$C$6:$C$23,'Monthly Data'!$A$6:$A$23,$A17),SUMIFS('Monthly Data'!$C$6:$C$23,'Monthly Data'!$A$6:$A$23,$A17,'Monthly Data'!$B$6:$B$23,$B$5))</x:f>
        <x:v>421</x:v>
      </x:c>
      <x:c r="C17" s="13" t="n">
        <x:f>IF($B$5="All",SUMIFS('Monthly Data'!$D$6:$D$23,'Monthly Data'!$A$6:$A$23,$A17),SUMIFS('Monthly Data'!$D$6:$D$23,'Monthly Data'!$A$6:$A$23,$A17,'Monthly Data'!$B$6:$B$23,$B$5))</x:f>
        <x:v>124</x:v>
      </x:c>
      <x:c r="D17" s="13" t="n">
        <x:f>IF($B$5="All",SUMIFS('Monthly Data'!$E$6:$E$23,'Monthly Data'!$A$6:$A$23,$A17),SUMIFS('Monthly Data'!$E$6:$E$23,'Monthly Data'!$A$6:$A$23,$A17,'Monthly Data'!$B$6:$B$23,$B$5))</x:f>
        <x:v>178</x:v>
      </x:c>
      <x:c r="E17" s="15" t="n">
        <x:f>IF($B$5="All",SUMIFS('Monthly Data'!$H$6:$H$23,'Monthly Data'!$A$6:$A$23,$A17),SUMIFS('Monthly Data'!$H$6:$H$23,'Monthly Data'!$A$6:$A$23,$A17,'Monthly Data'!$B$6:$B$23,$B$5))</x:f>
        <x:v>93587.26449999999</x:v>
      </x:c>
      <x:c r="F17" s="19" t="n">
        <x:f>IF(B17=0,"n.a.",C17/B17)</x:f>
        <x:v>0.29453681710213775</x:v>
      </x:c>
      <x:c r="G17" s="19" t="n">
        <x:f>IF(B17=0,"n.a.",D17/B17)</x:f>
        <x:v>0.42280285035629456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10" t="d">
        <x:v>2024-12-01T00:00:00.000Z</x:v>
      </x:c>
      <x:c r="B18" s="13" t="n">
        <x:f>IF($B$5="All",SUMIFS('Monthly Data'!$C$6:$C$23,'Monthly Data'!$A$6:$A$23,$A18),SUMIFS('Monthly Data'!$C$6:$C$23,'Monthly Data'!$A$6:$A$23,$A18,'Monthly Data'!$B$6:$B$23,$B$5))</x:f>
        <x:v>443</x:v>
      </x:c>
      <x:c r="C18" s="13" t="n">
        <x:f>IF($B$5="All",SUMIFS('Monthly Data'!$D$6:$D$23,'Monthly Data'!$A$6:$A$23,$A18),SUMIFS('Monthly Data'!$D$6:$D$23,'Monthly Data'!$A$6:$A$23,$A18,'Monthly Data'!$B$6:$B$23,$B$5))</x:f>
        <x:v>126</x:v>
      </x:c>
      <x:c r="D18" s="13" t="n">
        <x:f>IF($B$5="All",SUMIFS('Monthly Data'!$E$6:$E$23,'Monthly Data'!$A$6:$A$23,$A18),SUMIFS('Monthly Data'!$E$6:$E$23,'Monthly Data'!$A$6:$A$23,$A18,'Monthly Data'!$B$6:$B$23,$B$5))</x:f>
        <x:v>193</x:v>
      </x:c>
      <x:c r="E18" s="15" t="n">
        <x:f>IF($B$5="All",SUMIFS('Monthly Data'!$H$6:$H$23,'Monthly Data'!$A$6:$A$23,$A18),SUMIFS('Monthly Data'!$H$6:$H$23,'Monthly Data'!$A$6:$A$23,$A18,'Monthly Data'!$B$6:$B$23,$B$5))</x:f>
        <x:v>109781.751</x:v>
      </x:c>
      <x:c r="F18" s="19" t="n">
        <x:f>IF(B18=0,"n.a.",C18/B18)</x:f>
        <x:v>0.28442437923250563</x:v>
      </x:c>
      <x:c r="G18" s="19" t="n">
        <x:f>IF(B18=0,"n.a.",D18/B18)</x:f>
        <x:v>0.435665914221219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 t="str">
        <x:v>Month</x:v>
      </x:c>
      <x:c r="B22" s="2" t="str">
        <x:v>Applications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f>TEXT(A13,"mmm yy")</x:f>
        <x:v>Jul 24</x:v>
      </x:c>
      <x:c r="B23" s="13" t="n">
        <x:f>B13</x:f>
        <x:v>391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 t="str">
        <x:f>TEXT(A14,"mmm yy")</x:f>
        <x:v>Aug 24</x:v>
      </x:c>
      <x:c r="B24" s="13" t="n">
        <x:f>B14</x:f>
        <x:v>430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f>TEXT(A15,"mmm yy")</x:f>
        <x:v>Sep 24</x:v>
      </x:c>
      <x:c r="B25" s="13" t="n">
        <x:f>B15</x:f>
        <x:v>378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 t="str">
        <x:f>TEXT(A16,"mmm yy")</x:f>
        <x:v>Oct 24</x:v>
      </x:c>
      <x:c r="B26" s="13" t="n">
        <x:f>B16</x:f>
        <x:v>414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f>TEXT(A17,"mmm yy")</x:f>
        <x:v>Nov 24</x:v>
      </x:c>
      <x:c r="B27" s="13" t="n">
        <x:f>B17</x:f>
        <x:v>421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f>TEXT(A18,"mmm yy")</x:f>
        <x:v>Dec 24</x:v>
      </x:c>
      <x:c r="B28" s="13" t="n">
        <x:f>B18</x:f>
        <x:v>443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7" customHeight="1">
      <x:c r="A40" s="9" t="str">
        <x:v>Segment</x:v>
      </x:c>
      <x:c r="B40" s="9" t="str">
        <x:v>Applications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Contract</x:v>
      </x:c>
      <x:c r="B41" s="13" t="n">
        <x:f>IF(A41="All",SUMIFS('Monthly Data'!$C$6:$C$23),SUMIFS('Monthly Data'!$C$6:$C$23,'Monthly Data'!$B$6:$B$23,A41))</x:f>
        <x:v>314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str">
        <x:v>Salaried</x:v>
      </x:c>
      <x:c r="B42" s="13" t="n">
        <x:f>IF(A42="All",SUMIFS('Monthly Data'!$C$6:$C$23),SUMIFS('Monthly Data'!$C$6:$C$23,'Monthly Data'!$B$6:$B$23,A42))</x:f>
        <x:v>1637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Self employed</x:v>
      </x:c>
      <x:c r="B43" s="13" t="n">
        <x:f>IF(A43="All",SUMIFS('Monthly Data'!$C$6:$C$23),SUMIFS('Monthly Data'!$C$6:$C$23,'Monthly Data'!$B$6:$B$23,A43))</x:f>
        <x:v>526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</x:sheetData>
  <x:dataValidations count="1">
    <x:dataValidation type="list" sqref="B5">
      <x:formula1>"All,Contract,Salaried,Self employed"</x:formula1>
    </x:dataValidation>
  </x:dataValidations>
  <x:pageMargins left="0.7" right="0.7" top="0.75" bottom="0.75" header="0.3" footer="0.3"/>
  <x:drawing xmlns:r="http://schemas.openxmlformats.org/officeDocument/2006/relationships" r:id="Ra8d657a276ad484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Monthly source data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Source: outputs/monthly_kpis.csv. Synthetic data. One row per month and segment.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6"/>
      <x:c r="J4" s="6"/>
      <x:c r="K4" s="6"/>
      <x:c r="L4" s="6"/>
      <x:c r="M4" s="6"/>
      <x:c r="N4" s="6"/>
      <x:c r="O4" s="6"/>
      <x:c r="P4" s="6"/>
      <x:c r="Q4" s="6"/>
    </x:row>
    <x:row r="5" ht="40" customHeight="1">
      <x:c r="A5" s="12" t="str">
        <x:v>month</x:v>
      </x:c>
      <x:c r="B5" s="12" t="str">
        <x:v>segment</x:v>
      </x:c>
      <x:c r="C5" s="12" t="str">
        <x:v>applications</x:v>
      </x:c>
      <x:c r="D5" s="12" t="str">
        <x:v>defaults</x:v>
      </x:c>
      <x:c r="E5" s="12" t="str">
        <x:v>approved</x:v>
      </x:c>
      <x:c r="F5" s="12" t="str">
        <x:v>approved_defaults</x:v>
      </x:c>
      <x:c r="G5" s="12" t="str">
        <x:v>funded_amount</x:v>
      </x:c>
      <x:c r="H5" s="12" t="str">
        <x:v>contribution</x:v>
      </x:c>
    </x:row>
    <x:row r="6" ht="22" customHeight="1">
      <x:c r="A6" s="10" t="d">
        <x:v>2024-07-01T00:00:00.000Z</x:v>
      </x:c>
      <x:c r="B6" s="2" t="str">
        <x:v>Contract</x:v>
      </x:c>
      <x:c r="C6" s="13" t="n">
        <x:v>58</x:v>
      </x:c>
      <x:c r="D6" s="13" t="n">
        <x:v>19</x:v>
      </x:c>
      <x:c r="E6" s="13" t="n">
        <x:v>16</x:v>
      </x:c>
      <x:c r="F6" s="13" t="n">
        <x:v>4</x:v>
      </x:c>
      <x:c r="G6" s="14" t="n">
        <x:v>287328.14</x:v>
      </x:c>
      <x:c r="H6" s="15" t="n">
        <x:v>-10810.9683</x:v>
      </x:c>
    </x:row>
    <x:row r="7" ht="22" customHeight="1">
      <x:c r="A7" s="10" t="d">
        <x:v>2024-07-01T00:00:00.000Z</x:v>
      </x:c>
      <x:c r="B7" s="2" t="str">
        <x:v>Salaried</x:v>
      </x:c>
      <x:c r="C7" s="13" t="n">
        <x:v>254</x:v>
      </x:c>
      <x:c r="D7" s="13" t="n">
        <x:v>58</x:v>
      </x:c>
      <x:c r="E7" s="13" t="n">
        <x:v>118</x:v>
      </x:c>
      <x:c r="F7" s="13" t="n">
        <x:v>11</x:v>
      </x:c>
      <x:c r="G7" s="14" t="n">
        <x:v>1679115.09</x:v>
      </x:c>
      <x:c r="H7" s="15" t="n">
        <x:v>64973.2805</x:v>
      </x:c>
    </x:row>
    <x:row r="8" ht="22" customHeight="1">
      <x:c r="A8" s="10" t="d">
        <x:v>2024-07-01T00:00:00.000Z</x:v>
      </x:c>
      <x:c r="B8" s="2" t="str">
        <x:v>Self employed</x:v>
      </x:c>
      <x:c r="C8" s="13" t="n">
        <x:v>79</x:v>
      </x:c>
      <x:c r="D8" s="13" t="n">
        <x:v>24</x:v>
      </x:c>
      <x:c r="E8" s="13" t="n">
        <x:v>33</x:v>
      </x:c>
      <x:c r="F8" s="13" t="n">
        <x:v>7</x:v>
      </x:c>
      <x:c r="G8" s="14" t="n">
        <x:v>430382.78</x:v>
      </x:c>
      <x:c r="H8" s="15" t="n">
        <x:v>-30152.5755</x:v>
      </x:c>
    </x:row>
    <x:row r="9" ht="22" customHeight="1">
      <x:c r="A9" s="10" t="d">
        <x:v>2024-08-01T00:00:00.000Z</x:v>
      </x:c>
      <x:c r="B9" s="2" t="str">
        <x:v>Contract</x:v>
      </x:c>
      <x:c r="C9" s="13" t="n">
        <x:v>63</x:v>
      </x:c>
      <x:c r="D9" s="13" t="n">
        <x:v>16</x:v>
      </x:c>
      <x:c r="E9" s="13" t="n">
        <x:v>12</x:v>
      </x:c>
      <x:c r="F9" s="13" t="n">
        <x:v>1</x:v>
      </x:c>
      <x:c r="G9" s="14" t="n">
        <x:v>159054.7</x:v>
      </x:c>
      <x:c r="H9" s="15" t="n">
        <x:v>-7225.9915</x:v>
      </x:c>
    </x:row>
    <x:row r="10" ht="22" customHeight="1">
      <x:c r="A10" s="10" t="d">
        <x:v>2024-08-01T00:00:00.000Z</x:v>
      </x:c>
      <x:c r="B10" s="2" t="str">
        <x:v>Salaried</x:v>
      </x:c>
      <x:c r="C10" s="13" t="n">
        <x:v>267</x:v>
      </x:c>
      <x:c r="D10" s="13" t="n">
        <x:v>72</x:v>
      </x:c>
      <x:c r="E10" s="13" t="n">
        <x:v>128</x:v>
      </x:c>
      <x:c r="F10" s="13" t="n">
        <x:v>16</x:v>
      </x:c>
      <x:c r="G10" s="14" t="n">
        <x:v>2113747.25</x:v>
      </x:c>
      <x:c r="H10" s="15" t="n">
        <x:v>16907.8031</x:v>
      </x:c>
    </x:row>
    <x:row r="11" ht="22" customHeight="1">
      <x:c r="A11" s="10" t="d">
        <x:v>2024-08-01T00:00:00.000Z</x:v>
      </x:c>
      <x:c r="B11" s="2" t="str">
        <x:v>Self employed</x:v>
      </x:c>
      <x:c r="C11" s="13" t="n">
        <x:v>100</x:v>
      </x:c>
      <x:c r="D11" s="13" t="n">
        <x:v>19</x:v>
      </x:c>
      <x:c r="E11" s="13" t="n">
        <x:v>43</x:v>
      </x:c>
      <x:c r="F11" s="13" t="n">
        <x:v>3</x:v>
      </x:c>
      <x:c r="G11" s="14" t="n">
        <x:v>727747.55</x:v>
      </x:c>
      <x:c r="H11" s="15" t="n">
        <x:v>46545.5241</x:v>
      </x:c>
    </x:row>
    <x:row r="12" ht="22" customHeight="1">
      <x:c r="A12" s="10" t="d">
        <x:v>2024-09-01T00:00:00.000Z</x:v>
      </x:c>
      <x:c r="B12" s="2" t="str">
        <x:v>Contract</x:v>
      </x:c>
      <x:c r="C12" s="13" t="n">
        <x:v>47</x:v>
      </x:c>
      <x:c r="D12" s="13" t="n">
        <x:v>11</x:v>
      </x:c>
      <x:c r="E12" s="13" t="n">
        <x:v>21</x:v>
      </x:c>
      <x:c r="F12" s="13" t="n">
        <x:v>1</x:v>
      </x:c>
      <x:c r="G12" s="14" t="n">
        <x:v>319574.69</x:v>
      </x:c>
      <x:c r="H12" s="15" t="n">
        <x:v>28255.1868</x:v>
      </x:c>
    </x:row>
    <x:row r="13" ht="22" customHeight="1">
      <x:c r="A13" s="10" t="d">
        <x:v>2024-09-01T00:00:00.000Z</x:v>
      </x:c>
      <x:c r="B13" s="2" t="str">
        <x:v>Salaried</x:v>
      </x:c>
      <x:c r="C13" s="13" t="n">
        <x:v>244</x:v>
      </x:c>
      <x:c r="D13" s="13" t="n">
        <x:v>59</x:v>
      </x:c>
      <x:c r="E13" s="13" t="n">
        <x:v>95</x:v>
      </x:c>
      <x:c r="F13" s="13" t="n">
        <x:v>6</x:v>
      </x:c>
      <x:c r="G13" s="14" t="n">
        <x:v>1478315.85</x:v>
      </x:c>
      <x:c r="H13" s="15" t="n">
        <x:v>108262.9669</x:v>
      </x:c>
    </x:row>
    <x:row r="14" ht="22" customHeight="1">
      <x:c r="A14" s="10" t="d">
        <x:v>2024-09-01T00:00:00.000Z</x:v>
      </x:c>
      <x:c r="B14" s="2" t="str">
        <x:v>Self employed</x:v>
      </x:c>
      <x:c r="C14" s="13" t="n">
        <x:v>87</x:v>
      </x:c>
      <x:c r="D14" s="13" t="n">
        <x:v>25</x:v>
      </x:c>
      <x:c r="E14" s="13" t="n">
        <x:v>35</x:v>
      </x:c>
      <x:c r="F14" s="13" t="n">
        <x:v>4</x:v>
      </x:c>
      <x:c r="G14" s="14" t="n">
        <x:v>577588.53</x:v>
      </x:c>
      <x:c r="H14" s="15" t="n">
        <x:v>20031.2319</x:v>
      </x:c>
    </x:row>
    <x:row r="15" ht="22" customHeight="1">
      <x:c r="A15" s="10" t="d">
        <x:v>2024-10-01T00:00:00.000Z</x:v>
      </x:c>
      <x:c r="B15" s="2" t="str">
        <x:v>Contract</x:v>
      </x:c>
      <x:c r="C15" s="13" t="n">
        <x:v>49</x:v>
      </x:c>
      <x:c r="D15" s="13" t="n">
        <x:v>21</x:v>
      </x:c>
      <x:c r="E15" s="13" t="n">
        <x:v>11</x:v>
      </x:c>
      <x:c r="F15" s="13" t="n">
        <x:v>2</x:v>
      </x:c>
      <x:c r="G15" s="14" t="n">
        <x:v>227133.7</x:v>
      </x:c>
      <x:c r="H15" s="15" t="n">
        <x:v>14436.9223</x:v>
      </x:c>
    </x:row>
    <x:row r="16" ht="22" customHeight="1">
      <x:c r="A16" s="10" t="d">
        <x:v>2024-10-01T00:00:00.000Z</x:v>
      </x:c>
      <x:c r="B16" s="2" t="str">
        <x:v>Salaried</x:v>
      </x:c>
      <x:c r="C16" s="13" t="n">
        <x:v>281</x:v>
      </x:c>
      <x:c r="D16" s="13" t="n">
        <x:v>84</x:v>
      </x:c>
      <x:c r="E16" s="13" t="n">
        <x:v>125</x:v>
      </x:c>
      <x:c r="F16" s="13" t="n">
        <x:v>22</x:v>
      </x:c>
      <x:c r="G16" s="14" t="n">
        <x:v>2143072.61</x:v>
      </x:c>
      <x:c r="H16" s="15" t="n">
        <x:v>-35516.4565</x:v>
      </x:c>
    </x:row>
    <x:row r="17" ht="22" customHeight="1">
      <x:c r="A17" s="10" t="d">
        <x:v>2024-10-01T00:00:00.000Z</x:v>
      </x:c>
      <x:c r="B17" s="2" t="str">
        <x:v>Self employed</x:v>
      </x:c>
      <x:c r="C17" s="13" t="n">
        <x:v>84</x:v>
      </x:c>
      <x:c r="D17" s="13" t="n">
        <x:v>24</x:v>
      </x:c>
      <x:c r="E17" s="13" t="n">
        <x:v>37</x:v>
      </x:c>
      <x:c r="F17" s="13" t="n">
        <x:v>6</x:v>
      </x:c>
      <x:c r="G17" s="14" t="n">
        <x:v>588393.88</x:v>
      </x:c>
      <x:c r="H17" s="15" t="n">
        <x:v>193.7455</x:v>
      </x:c>
    </x:row>
    <x:row r="18" ht="22" customHeight="1">
      <x:c r="A18" s="10" t="d">
        <x:v>2024-11-01T00:00:00.000Z</x:v>
      </x:c>
      <x:c r="B18" s="2" t="str">
        <x:v>Contract</x:v>
      </x:c>
      <x:c r="C18" s="13" t="n">
        <x:v>43</x:v>
      </x:c>
      <x:c r="D18" s="13" t="n">
        <x:v>14</x:v>
      </x:c>
      <x:c r="E18" s="13" t="n">
        <x:v>12</x:v>
      </x:c>
      <x:c r="F18" s="13" t="n">
        <x:v>4</x:v>
      </x:c>
      <x:c r="G18" s="14" t="n">
        <x:v>215448.2</x:v>
      </x:c>
      <x:c r="H18" s="15" t="n">
        <x:v>-31446.074</x:v>
      </x:c>
    </x:row>
    <x:row r="19" ht="22" customHeight="1">
      <x:c r="A19" s="10" t="d">
        <x:v>2024-11-01T00:00:00.000Z</x:v>
      </x:c>
      <x:c r="B19" s="2" t="str">
        <x:v>Salaried</x:v>
      </x:c>
      <x:c r="C19" s="13" t="n">
        <x:v>293</x:v>
      </x:c>
      <x:c r="D19" s="13" t="n">
        <x:v>82</x:v>
      </x:c>
      <x:c r="E19" s="13" t="n">
        <x:v>135</x:v>
      </x:c>
      <x:c r="F19" s="13" t="n">
        <x:v>14</x:v>
      </x:c>
      <x:c r="G19" s="14" t="n">
        <x:v>2396925.15</x:v>
      </x:c>
      <x:c r="H19" s="15" t="n">
        <x:v>95097.8387</x:v>
      </x:c>
    </x:row>
    <x:row r="20" ht="22" customHeight="1">
      <x:c r="A20" s="10" t="d">
        <x:v>2024-11-01T00:00:00.000Z</x:v>
      </x:c>
      <x:c r="B20" s="2" t="str">
        <x:v>Self employed</x:v>
      </x:c>
      <x:c r="C20" s="13" t="n">
        <x:v>85</x:v>
      </x:c>
      <x:c r="D20" s="13" t="n">
        <x:v>28</x:v>
      </x:c>
      <x:c r="E20" s="13" t="n">
        <x:v>31</x:v>
      </x:c>
      <x:c r="F20" s="13" t="n">
        <x:v>3</x:v>
      </x:c>
      <x:c r="G20" s="14" t="n">
        <x:v>549040.11</x:v>
      </x:c>
      <x:c r="H20" s="15" t="n">
        <x:v>29935.4998</x:v>
      </x:c>
    </x:row>
    <x:row r="21" ht="22" customHeight="1">
      <x:c r="A21" s="10" t="d">
        <x:v>2024-12-01T00:00:00.000Z</x:v>
      </x:c>
      <x:c r="B21" s="2" t="str">
        <x:v>Contract</x:v>
      </x:c>
      <x:c r="C21" s="13" t="n">
        <x:v>54</x:v>
      </x:c>
      <x:c r="D21" s="13" t="n">
        <x:v>18</x:v>
      </x:c>
      <x:c r="E21" s="13" t="n">
        <x:v>18</x:v>
      </x:c>
      <x:c r="F21" s="13" t="n">
        <x:v>3</x:v>
      </x:c>
      <x:c r="G21" s="14" t="n">
        <x:v>214713.47</x:v>
      </x:c>
      <x:c r="H21" s="15" t="n">
        <x:v>8517.4701</x:v>
      </x:c>
    </x:row>
    <x:row r="22" ht="22" customHeight="1">
      <x:c r="A22" s="10" t="d">
        <x:v>2024-12-01T00:00:00.000Z</x:v>
      </x:c>
      <x:c r="B22" s="2" t="str">
        <x:v>Salaried</x:v>
      </x:c>
      <x:c r="C22" s="13" t="n">
        <x:v>298</x:v>
      </x:c>
      <x:c r="D22" s="13" t="n">
        <x:v>81</x:v>
      </x:c>
      <x:c r="E22" s="13" t="n">
        <x:v>134</x:v>
      </x:c>
      <x:c r="F22" s="13" t="n">
        <x:v>15</x:v>
      </x:c>
      <x:c r="G22" s="14" t="n">
        <x:v>1943998.15</x:v>
      </x:c>
      <x:c r="H22" s="15" t="n">
        <x:v>70548.7326</x:v>
      </x:c>
    </x:row>
    <x:row r="23" ht="22" customHeight="1">
      <x:c r="A23" s="10" t="d">
        <x:v>2024-12-01T00:00:00.000Z</x:v>
      </x:c>
      <x:c r="B23" s="2" t="str">
        <x:v>Self employed</x:v>
      </x:c>
      <x:c r="C23" s="13" t="n">
        <x:v>91</x:v>
      </x:c>
      <x:c r="D23" s="13" t="n">
        <x:v>27</x:v>
      </x:c>
      <x:c r="E23" s="13" t="n">
        <x:v>41</x:v>
      </x:c>
      <x:c r="F23" s="13" t="n">
        <x:v>4</x:v>
      </x:c>
      <x:c r="G23" s="14" t="n">
        <x:v>611589.52</x:v>
      </x:c>
      <x:c r="H23" s="15" t="n">
        <x:v>30715.5483</x:v>
      </x:c>
    </x:row>
    <x:row r="24" ht="22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  <x:tableParts count="1">
    <x:tablePart xmlns:r="http://schemas.openxmlformats.org/officeDocument/2006/relationships" r:id="R5c90fca54f1543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Credit policy lab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Source: outputs/test_predictions.csv. Change the PD cutoff; historical dashboard retains the original policy.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6"/>
      <x:c r="P4" s="6"/>
      <x:c r="Q4" s="6"/>
    </x:row>
    <x:row r="5" ht="27" customHeight="1">
      <x:c r="A5" s="9" t="str">
        <x:v>Policy assumptions</x:v>
      </x:c>
      <x:c r="B5" s="9" t="str">
        <x:v>Value</x:v>
      </x:c>
      <x:c r="C5" s="2"/>
      <x:c r="D5" s="9" t="str">
        <x:v>Policy results</x:v>
      </x:c>
      <x:c r="E5" s="9" t="str">
        <x:v>Value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 t="str">
        <x:v>PD cutoff</x:v>
      </x:c>
      <x:c r="B6" s="24" t="n">
        <x:v>0.15999999999999998</x:v>
      </x:c>
      <x:c r="C6" s="2"/>
      <x:c r="D6" s="2" t="str">
        <x:v>Approval rate</x:v>
      </x:c>
      <x:c r="E6" s="19" t="n">
        <x:f>SUM(H13:H2489)/COUNTA(A13:A2489)</x:f>
        <x:v>0.421881308033912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22" customHeight="1">
      <x:c r="A7" s="2" t="str">
        <x:v>Nondefault yield</x:v>
      </x:c>
      <x:c r="B7" s="24" t="n">
        <x:v>0.12</x:v>
      </x:c>
      <x:c r="C7" s="2"/>
      <x:c r="D7" s="2" t="str">
        <x:v>Contribution USD</x:v>
      </x:c>
      <x:c r="E7" s="15" t="n">
        <x:f>SUM(I13:I2489)</x:f>
        <x:v>419269.6847999999</x:v>
      </x:c>
      <x:c r="F7" s="2"/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" t="str">
        <x:v>Loss given default</x:v>
      </x:c>
      <x:c r="B8" s="24" t="n">
        <x:v>0.65</x:v>
      </x:c>
      <x:c r="C8" s="2"/>
      <x:c r="D8" s="2" t="str">
        <x:v>Approved defaults</x:v>
      </x:c>
      <x:c r="E8" s="2" t="n">
        <x:f>SUMPRODUCT(F13:F2489,H13:H2489)</x:f>
        <x:v>126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7" customHeight="1">
      <x:c r="A12" s="9" t="str">
        <x:v>ID</x:v>
      </x:c>
      <x:c r="B12" s="9" t="str">
        <x:v>Origination month</x:v>
      </x:c>
      <x:c r="C12" s="9" t="str">
        <x:v>Employment</x:v>
      </x:c>
      <x:c r="D12" s="9" t="str">
        <x:v>Audit group</x:v>
      </x:c>
      <x:c r="E12" s="9" t="str">
        <x:v>Loan USD</x:v>
      </x:c>
      <x:c r="F12" s="9" t="str">
        <x:v>Default 12m</x:v>
      </x:c>
      <x:c r="G12" s="9" t="str">
        <x:v>Predicted PD</x:v>
      </x:c>
      <x:c r="H12" s="9" t="str">
        <x:v>Approved</x:v>
      </x:c>
      <x:c r="I12" s="9" t="str">
        <x:v>Policy contribution</x:v>
      </x:c>
      <x:c r="J12" s="2"/>
      <x:c r="K12" s="2"/>
      <x:c r="L12" s="2"/>
      <x:c r="M12" s="2"/>
      <x:c r="N12" s="2"/>
    </x:row>
    <x:row r="13" ht="22" customHeight="1">
      <x:c r="A13" s="2" t="n">
        <x:v>3</x:v>
      </x:c>
      <x:c r="B13" s="2" t="str">
        <x:v>2024-07</x:v>
      </x:c>
      <x:c r="C13" s="2" t="str">
        <x:v>Self employed</x:v>
      </x:c>
      <x:c r="D13" s="2" t="str">
        <x:v>Group A</x:v>
      </x:c>
      <x:c r="E13" s="15" t="n">
        <x:v>12048.15</x:v>
      </x:c>
      <x:c r="F13" s="2" t="n">
        <x:v>0</x:v>
      </x:c>
      <x:c r="G13" s="19" t="n">
        <x:v>0.121149</x:v>
      </x:c>
      <x:c r="H13" s="2" t="n">
        <x:f>IF(G13&lt;$B$6,1,0)</x:f>
        <x:v>1</x:v>
      </x:c>
      <x:c r="I13" s="15" t="n">
        <x:f>H13*IF(F13=0,E13*$B$7,-E13*$B$8)</x:f>
        <x:v>1445.7779999999998</x:v>
      </x:c>
      <x:c r="J13" s="2"/>
      <x:c r="K13" s="2"/>
      <x:c r="L13" s="2"/>
      <x:c r="M13" s="2"/>
      <x:c r="N13" s="2"/>
    </x:row>
    <x:row r="14" ht="22" customHeight="1">
      <x:c r="A14" s="2" t="n">
        <x:v>34</x:v>
      </x:c>
      <x:c r="B14" s="2" t="str">
        <x:v>2024-07</x:v>
      </x:c>
      <x:c r="C14" s="2" t="str">
        <x:v>Salaried</x:v>
      </x:c>
      <x:c r="D14" s="2" t="str">
        <x:v>Group A</x:v>
      </x:c>
      <x:c r="E14" s="15" t="n">
        <x:v>75000</x:v>
      </x:c>
      <x:c r="F14" s="2" t="n">
        <x:v>1</x:v>
      </x:c>
      <x:c r="G14" s="19" t="n">
        <x:v>0.308919</x:v>
      </x:c>
      <x:c r="H14" s="2" t="n">
        <x:f>IF(G14&lt;$B$6,1,0)</x:f>
        <x:v>0</x:v>
      </x:c>
      <x:c r="I14" s="15" t="n">
        <x:f>H14*IF(F14=0,E14*$B$7,-E14*$B$8)</x:f>
        <x:v>0</x:v>
      </x:c>
      <x:c r="J14" s="2"/>
      <x:c r="K14" s="2"/>
      <x:c r="L14" s="2"/>
      <x:c r="M14" s="2"/>
      <x:c r="N14" s="2"/>
    </x:row>
    <x:row r="15" ht="22" customHeight="1">
      <x:c r="A15" s="2" t="n">
        <x:v>140</x:v>
      </x:c>
      <x:c r="B15" s="2" t="str">
        <x:v>2024-07</x:v>
      </x:c>
      <x:c r="C15" s="2" t="str">
        <x:v>Contract</x:v>
      </x:c>
      <x:c r="D15" s="2" t="str">
        <x:v>Group A</x:v>
      </x:c>
      <x:c r="E15" s="15" t="n">
        <x:v>9120.88</x:v>
      </x:c>
      <x:c r="F15" s="2" t="n">
        <x:v>0</x:v>
      </x:c>
      <x:c r="G15" s="19" t="n">
        <x:v>0.212708</x:v>
      </x:c>
      <x:c r="H15" s="2" t="n">
        <x:f>IF(G15&lt;$B$6,1,0)</x:f>
        <x:v>0</x:v>
      </x:c>
      <x:c r="I15" s="15" t="n">
        <x:f>H15*IF(F15=0,E15*$B$7,-E15*$B$8)</x:f>
        <x:v>0</x:v>
      </x:c>
      <x:c r="J15" s="2"/>
      <x:c r="K15" s="2"/>
      <x:c r="L15" s="2"/>
      <x:c r="M15" s="2"/>
      <x:c r="N15" s="2"/>
    </x:row>
    <x:row r="16" ht="22" customHeight="1">
      <x:c r="A16" s="2" t="n">
        <x:v>141</x:v>
      </x:c>
      <x:c r="B16" s="2" t="str">
        <x:v>2024-07</x:v>
      </x:c>
      <x:c r="C16" s="2" t="str">
        <x:v>Self employed</x:v>
      </x:c>
      <x:c r="D16" s="2" t="str">
        <x:v>Group B</x:v>
      </x:c>
      <x:c r="E16" s="15" t="n">
        <x:v>5359.34</x:v>
      </x:c>
      <x:c r="F16" s="2" t="n">
        <x:v>0</x:v>
      </x:c>
      <x:c r="G16" s="19" t="n">
        <x:v>0.09844</x:v>
      </x:c>
      <x:c r="H16" s="2" t="n">
        <x:f>IF(G16&lt;$B$6,1,0)</x:f>
        <x:v>1</x:v>
      </x:c>
      <x:c r="I16" s="15" t="n">
        <x:f>H16*IF(F16=0,E16*$B$7,-E16*$B$8)</x:f>
        <x:v>643.1208</x:v>
      </x:c>
      <x:c r="J16" s="2"/>
      <x:c r="K16" s="2"/>
      <x:c r="L16" s="2"/>
      <x:c r="M16" s="2"/>
      <x:c r="N16" s="2"/>
    </x:row>
    <x:row r="17" ht="22" customHeight="1">
      <x:c r="A17" s="2" t="n">
        <x:v>153</x:v>
      </x:c>
      <x:c r="B17" s="2" t="str">
        <x:v>2024-07</x:v>
      </x:c>
      <x:c r="C17" s="2" t="str">
        <x:v>Salaried</x:v>
      </x:c>
      <x:c r="D17" s="2" t="str">
        <x:v>Group A</x:v>
      </x:c>
      <x:c r="E17" s="15" t="n">
        <x:v>9996.56</x:v>
      </x:c>
      <x:c r="F17" s="2" t="n">
        <x:v>0</x:v>
      </x:c>
      <x:c r="G17" s="19" t="n">
        <x:v>0.241616</x:v>
      </x:c>
      <x:c r="H17" s="2" t="n">
        <x:f>IF(G17&lt;$B$6,1,0)</x:f>
        <x:v>0</x:v>
      </x:c>
      <x:c r="I17" s="15" t="n">
        <x:f>H17*IF(F17=0,E17*$B$7,-E17*$B$8)</x:f>
        <x:v>0</x:v>
      </x:c>
      <x:c r="J17" s="2"/>
      <x:c r="K17" s="2"/>
      <x:c r="L17" s="2"/>
      <x:c r="M17" s="2"/>
      <x:c r="N17" s="2"/>
    </x:row>
    <x:row r="18" ht="22" customHeight="1">
      <x:c r="A18" s="2" t="n">
        <x:v>177</x:v>
      </x:c>
      <x:c r="B18" s="2" t="str">
        <x:v>2024-07</x:v>
      </x:c>
      <x:c r="C18" s="2" t="str">
        <x:v>Salaried</x:v>
      </x:c>
      <x:c r="D18" s="2" t="str">
        <x:v>Group A</x:v>
      </x:c>
      <x:c r="E18" s="15" t="n">
        <x:v>12192.96</x:v>
      </x:c>
      <x:c r="F18" s="2" t="n">
        <x:v>0</x:v>
      </x:c>
      <x:c r="G18" s="19" t="n">
        <x:v>0.206517</x:v>
      </x:c>
      <x:c r="H18" s="2" t="n">
        <x:f>IF(G18&lt;$B$6,1,0)</x:f>
        <x:v>0</x:v>
      </x:c>
      <x:c r="I18" s="15" t="n">
        <x:f>H18*IF(F18=0,E18*$B$7,-E18*$B$8)</x:f>
        <x:v>0</x:v>
      </x:c>
      <x:c r="J18" s="2"/>
      <x:c r="K18" s="2"/>
      <x:c r="L18" s="2"/>
      <x:c r="M18" s="2"/>
      <x:c r="N18" s="2"/>
    </x:row>
    <x:row r="19" ht="22" customHeight="1">
      <x:c r="A19" s="2" t="n">
        <x:v>187</x:v>
      </x:c>
      <x:c r="B19" s="2" t="str">
        <x:v>2024-07</x:v>
      </x:c>
      <x:c r="C19" s="2" t="str">
        <x:v>Contract</x:v>
      </x:c>
      <x:c r="D19" s="2" t="str">
        <x:v>Group B</x:v>
      </x:c>
      <x:c r="E19" s="15" t="n">
        <x:v>10135.28</x:v>
      </x:c>
      <x:c r="F19" s="2" t="n">
        <x:v>1</x:v>
      </x:c>
      <x:c r="G19" s="19" t="n">
        <x:v>0.060558</x:v>
      </x:c>
      <x:c r="H19" s="2" t="n">
        <x:f>IF(G19&lt;$B$6,1,0)</x:f>
        <x:v>1</x:v>
      </x:c>
      <x:c r="I19" s="15" t="n">
        <x:f>H19*IF(F19=0,E19*$B$7,-E19*$B$8)</x:f>
        <x:v>-6587.932000000001</x:v>
      </x:c>
      <x:c r="J19" s="2"/>
      <x:c r="K19" s="2"/>
      <x:c r="L19" s="2"/>
      <x:c r="M19" s="2"/>
      <x:c r="N19" s="2"/>
    </x:row>
    <x:row r="20" ht="22" customHeight="1">
      <x:c r="A20" s="2" t="n">
        <x:v>254</x:v>
      </x:c>
      <x:c r="B20" s="2" t="str">
        <x:v>2024-07</x:v>
      </x:c>
      <x:c r="C20" s="2" t="str">
        <x:v>Salaried</x:v>
      </x:c>
      <x:c r="D20" s="2" t="str">
        <x:v>Group B</x:v>
      </x:c>
      <x:c r="E20" s="15" t="n">
        <x:v>12518.32</x:v>
      </x:c>
      <x:c r="F20" s="2" t="n">
        <x:v>1</x:v>
      </x:c>
      <x:c r="G20" s="19" t="n">
        <x:v>0.817603</x:v>
      </x:c>
      <x:c r="H20" s="2" t="n">
        <x:f>IF(G20&lt;$B$6,1,0)</x:f>
        <x:v>0</x:v>
      </x:c>
      <x:c r="I20" s="15" t="n">
        <x:f>H20*IF(F20=0,E20*$B$7,-E20*$B$8)</x:f>
        <x:v>0</x:v>
      </x:c>
      <x:c r="J20" s="2"/>
      <x:c r="K20" s="2"/>
      <x:c r="L20" s="2"/>
      <x:c r="M20" s="2"/>
      <x:c r="N20" s="2"/>
    </x:row>
    <x:row r="21" ht="22" customHeight="1">
      <x:c r="A21" s="2" t="n">
        <x:v>278</x:v>
      </x:c>
      <x:c r="B21" s="2" t="str">
        <x:v>2024-07</x:v>
      </x:c>
      <x:c r="C21" s="2" t="str">
        <x:v>Salaried</x:v>
      </x:c>
      <x:c r="D21" s="2" t="str">
        <x:v>Group A</x:v>
      </x:c>
      <x:c r="E21" s="15" t="n">
        <x:v>7048.53</x:v>
      </x:c>
      <x:c r="F21" s="2" t="n">
        <x:v>1</x:v>
      </x:c>
      <x:c r="G21" s="19" t="n">
        <x:v>0.214919</x:v>
      </x:c>
      <x:c r="H21" s="2" t="n">
        <x:f>IF(G21&lt;$B$6,1,0)</x:f>
        <x:v>0</x:v>
      </x:c>
      <x:c r="I21" s="15" t="n">
        <x:f>H21*IF(F21=0,E21*$B$7,-E21*$B$8)</x:f>
        <x:v>0</x:v>
      </x:c>
      <x:c r="J21" s="2"/>
      <x:c r="K21" s="2"/>
      <x:c r="L21" s="2"/>
      <x:c r="M21" s="2"/>
      <x:c r="N21" s="2"/>
    </x:row>
    <x:row r="22" ht="22" customHeight="1">
      <x:c r="A22" s="2" t="n">
        <x:v>307</x:v>
      </x:c>
      <x:c r="B22" s="2" t="str">
        <x:v>2024-07</x:v>
      </x:c>
      <x:c r="C22" s="2" t="str">
        <x:v>Salaried</x:v>
      </x:c>
      <x:c r="D22" s="2" t="str">
        <x:v>Group A</x:v>
      </x:c>
      <x:c r="E22" s="15" t="n">
        <x:v>52788.71</x:v>
      </x:c>
      <x:c r="F22" s="2" t="n">
        <x:v>0</x:v>
      </x:c>
      <x:c r="G22" s="19" t="n">
        <x:v>0.290563</x:v>
      </x:c>
      <x:c r="H22" s="2" t="n">
        <x:f>IF(G22&lt;$B$6,1,0)</x:f>
        <x:v>0</x:v>
      </x:c>
      <x:c r="I22" s="15" t="n">
        <x:f>H22*IF(F22=0,E22*$B$7,-E22*$B$8)</x:f>
        <x:v>0</x:v>
      </x:c>
      <x:c r="J22" s="2"/>
      <x:c r="K22" s="2"/>
      <x:c r="L22" s="2"/>
      <x:c r="M22" s="2"/>
      <x:c r="N22" s="2"/>
    </x:row>
    <x:row r="23" ht="22" customHeight="1">
      <x:c r="A23" s="2" t="n">
        <x:v>315</x:v>
      </x:c>
      <x:c r="B23" s="2" t="str">
        <x:v>2024-07</x:v>
      </x:c>
      <x:c r="C23" s="2" t="str">
        <x:v>Salaried</x:v>
      </x:c>
      <x:c r="D23" s="2" t="str">
        <x:v>Group A</x:v>
      </x:c>
      <x:c r="E23" s="15" t="n">
        <x:v>5476.07</x:v>
      </x:c>
      <x:c r="F23" s="2" t="n">
        <x:v>0</x:v>
      </x:c>
      <x:c r="G23" s="19" t="n">
        <x:v>0.022678</x:v>
      </x:c>
      <x:c r="H23" s="2" t="n">
        <x:f>IF(G23&lt;$B$6,1,0)</x:f>
        <x:v>1</x:v>
      </x:c>
      <x:c r="I23" s="15" t="n">
        <x:f>H23*IF(F23=0,E23*$B$7,-E23*$B$8)</x:f>
        <x:v>657.1283999999999</x:v>
      </x:c>
      <x:c r="J23" s="2"/>
      <x:c r="K23" s="2"/>
      <x:c r="L23" s="2"/>
      <x:c r="M23" s="2"/>
      <x:c r="N23" s="2"/>
    </x:row>
    <x:row r="24" ht="22" customHeight="1">
      <x:c r="A24" s="2" t="n">
        <x:v>316</x:v>
      </x:c>
      <x:c r="B24" s="2" t="str">
        <x:v>2024-07</x:v>
      </x:c>
      <x:c r="C24" s="2" t="str">
        <x:v>Salaried</x:v>
      </x:c>
      <x:c r="D24" s="2" t="str">
        <x:v>Group B</x:v>
      </x:c>
      <x:c r="E24" s="15" t="n">
        <x:v>17750.42</x:v>
      </x:c>
      <x:c r="F24" s="2" t="n">
        <x:v>0</x:v>
      </x:c>
      <x:c r="G24" s="19" t="n">
        <x:v>0.143791</x:v>
      </x:c>
      <x:c r="H24" s="2" t="n">
        <x:f>IF(G24&lt;$B$6,1,0)</x:f>
        <x:v>1</x:v>
      </x:c>
      <x:c r="I24" s="15" t="n">
        <x:f>H24*IF(F24=0,E24*$B$7,-E24*$B$8)</x:f>
        <x:v>2130.0503999999996</x:v>
      </x:c>
      <x:c r="J24" s="2"/>
      <x:c r="K24" s="2"/>
      <x:c r="L24" s="2"/>
      <x:c r="M24" s="2"/>
      <x:c r="N24" s="2"/>
    </x:row>
    <x:row r="25" ht="22" customHeight="1">
      <x:c r="A25" s="2" t="n">
        <x:v>378</x:v>
      </x:c>
      <x:c r="B25" s="2" t="str">
        <x:v>2024-07</x:v>
      </x:c>
      <x:c r="C25" s="2" t="str">
        <x:v>Salaried</x:v>
      </x:c>
      <x:c r="D25" s="2" t="str">
        <x:v>Group A</x:v>
      </x:c>
      <x:c r="E25" s="15" t="n">
        <x:v>13464.61</x:v>
      </x:c>
      <x:c r="F25" s="2" t="n">
        <x:v>0</x:v>
      </x:c>
      <x:c r="G25" s="19" t="n">
        <x:v>0.02182</x:v>
      </x:c>
      <x:c r="H25" s="2" t="n">
        <x:f>IF(G25&lt;$B$6,1,0)</x:f>
        <x:v>1</x:v>
      </x:c>
      <x:c r="I25" s="15" t="n">
        <x:f>H25*IF(F25=0,E25*$B$7,-E25*$B$8)</x:f>
        <x:v>1615.7532</x:v>
      </x:c>
      <x:c r="J25" s="2"/>
      <x:c r="K25" s="2"/>
      <x:c r="L25" s="2"/>
      <x:c r="M25" s="2"/>
      <x:c r="N25" s="2"/>
    </x:row>
    <x:row r="26" ht="22" customHeight="1">
      <x:c r="A26" s="2" t="n">
        <x:v>394</x:v>
      </x:c>
      <x:c r="B26" s="2" t="str">
        <x:v>2024-07</x:v>
      </x:c>
      <x:c r="C26" s="2" t="str">
        <x:v>Salaried</x:v>
      </x:c>
      <x:c r="D26" s="2" t="str">
        <x:v>Group B</x:v>
      </x:c>
      <x:c r="E26" s="15" t="n">
        <x:v>3923.6</x:v>
      </x:c>
      <x:c r="F26" s="2" t="n">
        <x:v>0</x:v>
      </x:c>
      <x:c r="G26" s="19" t="n">
        <x:v>0.069278</x:v>
      </x:c>
      <x:c r="H26" s="2" t="n">
        <x:f>IF(G26&lt;$B$6,1,0)</x:f>
        <x:v>1</x:v>
      </x:c>
      <x:c r="I26" s="15" t="n">
        <x:f>H26*IF(F26=0,E26*$B$7,-E26*$B$8)</x:f>
        <x:v>470.832</x:v>
      </x:c>
      <x:c r="J26" s="2"/>
      <x:c r="K26" s="2"/>
      <x:c r="L26" s="2"/>
      <x:c r="M26" s="2"/>
      <x:c r="N26" s="2"/>
    </x:row>
    <x:row r="27" ht="22" customHeight="1">
      <x:c r="A27" s="2" t="n">
        <x:v>407</x:v>
      </x:c>
      <x:c r="B27" s="2" t="str">
        <x:v>2024-07</x:v>
      </x:c>
      <x:c r="C27" s="2" t="str">
        <x:v>Salaried</x:v>
      </x:c>
      <x:c r="D27" s="2" t="str">
        <x:v>Group A</x:v>
      </x:c>
      <x:c r="E27" s="15" t="n">
        <x:v>8721.84</x:v>
      </x:c>
      <x:c r="F27" s="2" t="n">
        <x:v>0</x:v>
      </x:c>
      <x:c r="G27" s="19" t="n">
        <x:v>0.076958</x:v>
      </x:c>
      <x:c r="H27" s="2" t="n">
        <x:f>IF(G27&lt;$B$6,1,0)</x:f>
        <x:v>1</x:v>
      </x:c>
      <x:c r="I27" s="15" t="n">
        <x:f>H27*IF(F27=0,E27*$B$7,-E27*$B$8)</x:f>
        <x:v>1046.6208</x:v>
      </x:c>
      <x:c r="J27" s="2"/>
      <x:c r="K27" s="2"/>
      <x:c r="L27" s="2"/>
      <x:c r="M27" s="2"/>
      <x:c r="N27" s="2"/>
    </x:row>
    <x:row r="28" ht="22" customHeight="1">
      <x:c r="A28" s="2" t="n">
        <x:v>408</x:v>
      </x:c>
      <x:c r="B28" s="2" t="str">
        <x:v>2024-07</x:v>
      </x:c>
      <x:c r="C28" s="2" t="str">
        <x:v>Salaried</x:v>
      </x:c>
      <x:c r="D28" s="2" t="str">
        <x:v>Group A</x:v>
      </x:c>
      <x:c r="E28" s="15" t="n">
        <x:v>11253.99</x:v>
      </x:c>
      <x:c r="F28" s="2" t="n">
        <x:v>0</x:v>
      </x:c>
      <x:c r="G28" s="19" t="n">
        <x:v>0.21165</x:v>
      </x:c>
      <x:c r="H28" s="2" t="n">
        <x:f>IF(G28&lt;$B$6,1,0)</x:f>
        <x:v>0</x:v>
      </x:c>
      <x:c r="I28" s="15" t="n">
        <x:f>H28*IF(F28=0,E28*$B$7,-E28*$B$8)</x:f>
        <x:v>0</x:v>
      </x:c>
      <x:c r="J28" s="2"/>
      <x:c r="K28" s="2"/>
      <x:c r="L28" s="2"/>
      <x:c r="M28" s="2"/>
      <x:c r="N28" s="2"/>
    </x:row>
    <x:row r="29" ht="22" customHeight="1">
      <x:c r="A29" s="2" t="n">
        <x:v>416</x:v>
      </x:c>
      <x:c r="B29" s="2" t="str">
        <x:v>2024-07</x:v>
      </x:c>
      <x:c r="C29" s="2" t="str">
        <x:v>Salaried</x:v>
      </x:c>
      <x:c r="D29" s="2" t="str">
        <x:v>Group A</x:v>
      </x:c>
      <x:c r="E29" s="15" t="n">
        <x:v>16113.14</x:v>
      </x:c>
      <x:c r="F29" s="2" t="n">
        <x:v>0</x:v>
      </x:c>
      <x:c r="G29" s="19" t="n">
        <x:v>0.469098</x:v>
      </x:c>
      <x:c r="H29" s="2" t="n">
        <x:f>IF(G29&lt;$B$6,1,0)</x:f>
        <x:v>0</x:v>
      </x:c>
      <x:c r="I29" s="15" t="n">
        <x:f>H29*IF(F29=0,E29*$B$7,-E29*$B$8)</x:f>
        <x:v>0</x:v>
      </x:c>
      <x:c r="J29" s="2"/>
      <x:c r="K29" s="2"/>
      <x:c r="L29" s="2"/>
      <x:c r="M29" s="2"/>
      <x:c r="N29" s="2"/>
    </x:row>
    <x:row r="30" ht="22" customHeight="1">
      <x:c r="A30" s="2" t="n">
        <x:v>455</x:v>
      </x:c>
      <x:c r="B30" s="2" t="str">
        <x:v>2024-07</x:v>
      </x:c>
      <x:c r="C30" s="2" t="str">
        <x:v>Self employed</x:v>
      </x:c>
      <x:c r="D30" s="2" t="str">
        <x:v>Group A</x:v>
      </x:c>
      <x:c r="E30" s="15" t="n">
        <x:v>7340.32</x:v>
      </x:c>
      <x:c r="F30" s="2" t="n">
        <x:v>0</x:v>
      </x:c>
      <x:c r="G30" s="19" t="n">
        <x:v>0.304323</x:v>
      </x:c>
      <x:c r="H30" s="2" t="n">
        <x:f>IF(G30&lt;$B$6,1,0)</x:f>
        <x:v>0</x:v>
      </x:c>
      <x:c r="I30" s="15" t="n">
        <x:f>H30*IF(F30=0,E30*$B$7,-E30*$B$8)</x:f>
        <x:v>0</x:v>
      </x:c>
      <x:c r="J30" s="2"/>
      <x:c r="K30" s="2"/>
      <x:c r="L30" s="2"/>
      <x:c r="M30" s="2"/>
      <x:c r="N30" s="2"/>
    </x:row>
    <x:row r="31" ht="22" customHeight="1">
      <x:c r="A31" s="2" t="n">
        <x:v>484</x:v>
      </x:c>
      <x:c r="B31" s="2" t="str">
        <x:v>2024-07</x:v>
      </x:c>
      <x:c r="C31" s="2" t="str">
        <x:v>Self employed</x:v>
      </x:c>
      <x:c r="D31" s="2" t="str">
        <x:v>Group A</x:v>
      </x:c>
      <x:c r="E31" s="15" t="n">
        <x:v>38878.22</x:v>
      </x:c>
      <x:c r="F31" s="2" t="n">
        <x:v>0</x:v>
      </x:c>
      <x:c r="G31" s="19" t="n">
        <x:v>0.312181</x:v>
      </x:c>
      <x:c r="H31" s="2" t="n">
        <x:f>IF(G31&lt;$B$6,1,0)</x:f>
        <x:v>0</x:v>
      </x:c>
      <x:c r="I31" s="15" t="n">
        <x:f>H31*IF(F31=0,E31*$B$7,-E31*$B$8)</x:f>
        <x:v>0</x:v>
      </x:c>
      <x:c r="J31" s="2"/>
      <x:c r="K31" s="2"/>
      <x:c r="L31" s="2"/>
      <x:c r="M31" s="2"/>
      <x:c r="N31" s="2"/>
    </x:row>
    <x:row r="32" ht="22" customHeight="1">
      <x:c r="A32" s="2" t="n">
        <x:v>488</x:v>
      </x:c>
      <x:c r="B32" s="2" t="str">
        <x:v>2024-07</x:v>
      </x:c>
      <x:c r="C32" s="2" t="str">
        <x:v>Salaried</x:v>
      </x:c>
      <x:c r="D32" s="2" t="str">
        <x:v>Group A</x:v>
      </x:c>
      <x:c r="E32" s="15" t="n">
        <x:v>7688.81</x:v>
      </x:c>
      <x:c r="F32" s="2" t="n">
        <x:v>0</x:v>
      </x:c>
      <x:c r="G32" s="19" t="n">
        <x:v>0.06716</x:v>
      </x:c>
      <x:c r="H32" s="2" t="n">
        <x:f>IF(G32&lt;$B$6,1,0)</x:f>
        <x:v>1</x:v>
      </x:c>
      <x:c r="I32" s="15" t="n">
        <x:f>H32*IF(F32=0,E32*$B$7,-E32*$B$8)</x:f>
        <x:v>922.6572</x:v>
      </x:c>
      <x:c r="J32" s="2"/>
      <x:c r="K32" s="2"/>
      <x:c r="L32" s="2"/>
      <x:c r="M32" s="2"/>
      <x:c r="N32" s="2"/>
    </x:row>
    <x:row r="33" ht="22" customHeight="1">
      <x:c r="A33" s="2" t="n">
        <x:v>490</x:v>
      </x:c>
      <x:c r="B33" s="2" t="str">
        <x:v>2024-07</x:v>
      </x:c>
      <x:c r="C33" s="2" t="str">
        <x:v>Salaried</x:v>
      </x:c>
      <x:c r="D33" s="2" t="str">
        <x:v>Group A</x:v>
      </x:c>
      <x:c r="E33" s="15" t="n">
        <x:v>11170.85</x:v>
      </x:c>
      <x:c r="F33" s="2" t="n">
        <x:v>0</x:v>
      </x:c>
      <x:c r="G33" s="19" t="n">
        <x:v>0.278412</x:v>
      </x:c>
      <x:c r="H33" s="2" t="n">
        <x:f>IF(G33&lt;$B$6,1,0)</x:f>
        <x:v>0</x:v>
      </x:c>
      <x:c r="I33" s="15" t="n">
        <x:f>H33*IF(F33=0,E33*$B$7,-E33*$B$8)</x:f>
        <x:v>0</x:v>
      </x:c>
      <x:c r="J33" s="2"/>
      <x:c r="K33" s="2"/>
      <x:c r="L33" s="2"/>
      <x:c r="M33" s="2"/>
      <x:c r="N33" s="2"/>
    </x:row>
    <x:row r="34" ht="22" customHeight="1">
      <x:c r="A34" s="2" t="n">
        <x:v>516</x:v>
      </x:c>
      <x:c r="B34" s="2" t="str">
        <x:v>2024-07</x:v>
      </x:c>
      <x:c r="C34" s="2" t="str">
        <x:v>Salaried</x:v>
      </x:c>
      <x:c r="D34" s="2" t="str">
        <x:v>Group A</x:v>
      </x:c>
      <x:c r="E34" s="15" t="n">
        <x:v>14972.91</x:v>
      </x:c>
      <x:c r="F34" s="2" t="n">
        <x:v>0</x:v>
      </x:c>
      <x:c r="G34" s="19" t="n">
        <x:v>0.264263</x:v>
      </x:c>
      <x:c r="H34" s="2" t="n">
        <x:f>IF(G34&lt;$B$6,1,0)</x:f>
        <x:v>0</x:v>
      </x:c>
      <x:c r="I34" s="15" t="n">
        <x:f>H34*IF(F34=0,E34*$B$7,-E34*$B$8)</x:f>
        <x:v>0</x:v>
      </x:c>
      <x:c r="J34" s="2"/>
      <x:c r="K34" s="2"/>
      <x:c r="L34" s="2"/>
      <x:c r="M34" s="2"/>
      <x:c r="N34" s="2"/>
    </x:row>
    <x:row r="35" ht="22" customHeight="1">
      <x:c r="A35" s="2" t="n">
        <x:v>527</x:v>
      </x:c>
      <x:c r="B35" s="2" t="str">
        <x:v>2024-07</x:v>
      </x:c>
      <x:c r="C35" s="2" t="str">
        <x:v>Contract</x:v>
      </x:c>
      <x:c r="D35" s="2" t="str">
        <x:v>Group A</x:v>
      </x:c>
      <x:c r="E35" s="15" t="n">
        <x:v>9898.38</x:v>
      </x:c>
      <x:c r="F35" s="2" t="n">
        <x:v>1</x:v>
      </x:c>
      <x:c r="G35" s="19" t="n">
        <x:v>0.098771</x:v>
      </x:c>
      <x:c r="H35" s="2" t="n">
        <x:f>IF(G35&lt;$B$6,1,0)</x:f>
        <x:v>1</x:v>
      </x:c>
      <x:c r="I35" s="15" t="n">
        <x:f>H35*IF(F35=0,E35*$B$7,-E35*$B$8)</x:f>
        <x:v>-6433.947</x:v>
      </x:c>
      <x:c r="J35" s="2"/>
      <x:c r="K35" s="2"/>
      <x:c r="L35" s="2"/>
      <x:c r="M35" s="2"/>
      <x:c r="N35" s="2"/>
    </x:row>
    <x:row r="36" ht="22" customHeight="1">
      <x:c r="A36" s="2" t="n">
        <x:v>571</x:v>
      </x:c>
      <x:c r="B36" s="2" t="str">
        <x:v>2024-07</x:v>
      </x:c>
      <x:c r="C36" s="2" t="str">
        <x:v>Salaried</x:v>
      </x:c>
      <x:c r="D36" s="2" t="str">
        <x:v>Group A</x:v>
      </x:c>
      <x:c r="E36" s="15" t="n">
        <x:v>16959.27</x:v>
      </x:c>
      <x:c r="F36" s="2" t="n">
        <x:v>0</x:v>
      </x:c>
      <x:c r="G36" s="19" t="n">
        <x:v>0.210733</x:v>
      </x:c>
      <x:c r="H36" s="2" t="n">
        <x:f>IF(G36&lt;$B$6,1,0)</x:f>
        <x:v>0</x:v>
      </x:c>
      <x:c r="I36" s="15" t="n">
        <x:f>H36*IF(F36=0,E36*$B$7,-E36*$B$8)</x:f>
        <x:v>0</x:v>
      </x:c>
      <x:c r="J36" s="2"/>
      <x:c r="K36" s="2"/>
      <x:c r="L36" s="2"/>
      <x:c r="M36" s="2"/>
      <x:c r="N36" s="2"/>
    </x:row>
    <x:row r="37" ht="22" customHeight="1">
      <x:c r="A37" s="2" t="n">
        <x:v>592</x:v>
      </x:c>
      <x:c r="B37" s="2" t="str">
        <x:v>2024-07</x:v>
      </x:c>
      <x:c r="C37" s="2" t="str">
        <x:v>Salaried</x:v>
      </x:c>
      <x:c r="D37" s="2" t="str">
        <x:v>Group A</x:v>
      </x:c>
      <x:c r="E37" s="15" t="n">
        <x:v>72235.53</x:v>
      </x:c>
      <x:c r="F37" s="2" t="n">
        <x:v>0</x:v>
      </x:c>
      <x:c r="G37" s="19" t="n">
        <x:v>0.371481</x:v>
      </x:c>
      <x:c r="H37" s="2" t="n">
        <x:f>IF(G37&lt;$B$6,1,0)</x:f>
        <x:v>0</x:v>
      </x:c>
      <x:c r="I37" s="15" t="n">
        <x:f>H37*IF(F37=0,E37*$B$7,-E37*$B$8)</x:f>
        <x:v>0</x:v>
      </x:c>
      <x:c r="J37" s="2"/>
      <x:c r="K37" s="2"/>
      <x:c r="L37" s="2"/>
      <x:c r="M37" s="2"/>
      <x:c r="N37" s="2"/>
    </x:row>
    <x:row r="38" ht="22" customHeight="1">
      <x:c r="A38" s="2" t="n">
        <x:v>599</x:v>
      </x:c>
      <x:c r="B38" s="2" t="str">
        <x:v>2024-07</x:v>
      </x:c>
      <x:c r="C38" s="2" t="str">
        <x:v>Contract</x:v>
      </x:c>
      <x:c r="D38" s="2" t="str">
        <x:v>Group A</x:v>
      </x:c>
      <x:c r="E38" s="15" t="n">
        <x:v>5696.78</x:v>
      </x:c>
      <x:c r="F38" s="2" t="n">
        <x:v>1</x:v>
      </x:c>
      <x:c r="G38" s="19" t="n">
        <x:v>0.459253</x:v>
      </x:c>
      <x:c r="H38" s="2" t="n">
        <x:f>IF(G38&lt;$B$6,1,0)</x:f>
        <x:v>0</x:v>
      </x:c>
      <x:c r="I38" s="15" t="n">
        <x:f>H38*IF(F38=0,E38*$B$7,-E38*$B$8)</x:f>
        <x:v>0</x:v>
      </x:c>
      <x:c r="J38" s="2"/>
      <x:c r="K38" s="2"/>
      <x:c r="L38" s="2"/>
      <x:c r="M38" s="2"/>
      <x:c r="N38" s="2"/>
    </x:row>
    <x:row r="39" ht="22" customHeight="1">
      <x:c r="A39" s="2" t="n">
        <x:v>617</x:v>
      </x:c>
      <x:c r="B39" s="2" t="str">
        <x:v>2024-07</x:v>
      </x:c>
      <x:c r="C39" s="2" t="str">
        <x:v>Contract</x:v>
      </x:c>
      <x:c r="D39" s="2" t="str">
        <x:v>Group A</x:v>
      </x:c>
      <x:c r="E39" s="15" t="n">
        <x:v>9176.58</x:v>
      </x:c>
      <x:c r="F39" s="2" t="n">
        <x:v>0</x:v>
      </x:c>
      <x:c r="G39" s="19" t="n">
        <x:v>0.181701</x:v>
      </x:c>
      <x:c r="H39" s="2" t="n">
        <x:f>IF(G39&lt;$B$6,1,0)</x:f>
        <x:v>0</x:v>
      </x:c>
      <x:c r="I39" s="15" t="n">
        <x:f>H39*IF(F39=0,E39*$B$7,-E39*$B$8)</x:f>
        <x:v>0</x:v>
      </x:c>
      <x:c r="J39" s="2"/>
      <x:c r="K39" s="2"/>
      <x:c r="L39" s="2"/>
      <x:c r="M39" s="2"/>
      <x:c r="N39" s="2"/>
    </x:row>
    <x:row r="40" ht="22" customHeight="1">
      <x:c r="A40" s="2" t="n">
        <x:v>664</x:v>
      </x:c>
      <x:c r="B40" s="2" t="str">
        <x:v>2024-07</x:v>
      </x:c>
      <x:c r="C40" s="2" t="str">
        <x:v>Self employed</x:v>
      </x:c>
      <x:c r="D40" s="2" t="str">
        <x:v>Group A</x:v>
      </x:c>
      <x:c r="E40" s="15" t="n">
        <x:v>5071.71</x:v>
      </x:c>
      <x:c r="F40" s="2" t="n">
        <x:v>0</x:v>
      </x:c>
      <x:c r="G40" s="19" t="n">
        <x:v>0.073828</x:v>
      </x:c>
      <x:c r="H40" s="2" t="n">
        <x:f>IF(G40&lt;$B$6,1,0)</x:f>
        <x:v>1</x:v>
      </x:c>
      <x:c r="I40" s="15" t="n">
        <x:f>H40*IF(F40=0,E40*$B$7,-E40*$B$8)</x:f>
        <x:v>608.6052</x:v>
      </x:c>
      <x:c r="J40" s="2"/>
      <x:c r="K40" s="2"/>
      <x:c r="L40" s="2"/>
      <x:c r="M40" s="2"/>
      <x:c r="N40" s="2"/>
    </x:row>
    <x:row r="41" ht="22" customHeight="1">
      <x:c r="A41" s="2" t="n">
        <x:v>725</x:v>
      </x:c>
      <x:c r="B41" s="2" t="str">
        <x:v>2024-07</x:v>
      </x:c>
      <x:c r="C41" s="2" t="str">
        <x:v>Self employed</x:v>
      </x:c>
      <x:c r="D41" s="2" t="str">
        <x:v>Group B</x:v>
      </x:c>
      <x:c r="E41" s="15" t="n">
        <x:v>42613.21</x:v>
      </x:c>
      <x:c r="F41" s="2" t="n">
        <x:v>1</x:v>
      </x:c>
      <x:c r="G41" s="19" t="n">
        <x:v>0.103337</x:v>
      </x:c>
      <x:c r="H41" s="2" t="n">
        <x:f>IF(G41&lt;$B$6,1,0)</x:f>
        <x:v>1</x:v>
      </x:c>
      <x:c r="I41" s="15" t="n">
        <x:f>H41*IF(F41=0,E41*$B$7,-E41*$B$8)</x:f>
        <x:v>-27698.5865</x:v>
      </x:c>
      <x:c r="J41" s="2"/>
      <x:c r="K41" s="2"/>
      <x:c r="L41" s="2"/>
      <x:c r="M41" s="2"/>
      <x:c r="N41" s="2"/>
    </x:row>
    <x:row r="42" ht="22" customHeight="1">
      <x:c r="A42" s="2" t="n">
        <x:v>733</x:v>
      </x:c>
      <x:c r="B42" s="2" t="str">
        <x:v>2024-07</x:v>
      </x:c>
      <x:c r="C42" s="2" t="str">
        <x:v>Salaried</x:v>
      </x:c>
      <x:c r="D42" s="2" t="str">
        <x:v>Group A</x:v>
      </x:c>
      <x:c r="E42" s="15" t="n">
        <x:v>15626.26</x:v>
      </x:c>
      <x:c r="F42" s="2" t="n">
        <x:v>0</x:v>
      </x:c>
      <x:c r="G42" s="19" t="n">
        <x:v>0.12803</x:v>
      </x:c>
      <x:c r="H42" s="2" t="n">
        <x:f>IF(G42&lt;$B$6,1,0)</x:f>
        <x:v>1</x:v>
      </x:c>
      <x:c r="I42" s="15" t="n">
        <x:f>H42*IF(F42=0,E42*$B$7,-E42*$B$8)</x:f>
        <x:v>1875.1512</x:v>
      </x:c>
      <x:c r="J42" s="2"/>
      <x:c r="K42" s="2"/>
      <x:c r="L42" s="2"/>
      <x:c r="M42" s="2"/>
      <x:c r="N42" s="2"/>
    </x:row>
    <x:row r="43" ht="22" customHeight="1">
      <x:c r="A43" s="2" t="n">
        <x:v>744</x:v>
      </x:c>
      <x:c r="B43" s="2" t="str">
        <x:v>2024-07</x:v>
      </x:c>
      <x:c r="C43" s="2" t="str">
        <x:v>Salaried</x:v>
      </x:c>
      <x:c r="D43" s="2" t="str">
        <x:v>Group B</x:v>
      </x:c>
      <x:c r="E43" s="15" t="n">
        <x:v>25238.49</x:v>
      </x:c>
      <x:c r="F43" s="2" t="n">
        <x:v>0</x:v>
      </x:c>
      <x:c r="G43" s="19" t="n">
        <x:v>0.046922</x:v>
      </x:c>
      <x:c r="H43" s="2" t="n">
        <x:f>IF(G43&lt;$B$6,1,0)</x:f>
        <x:v>1</x:v>
      </x:c>
      <x:c r="I43" s="15" t="n">
        <x:f>H43*IF(F43=0,E43*$B$7,-E43*$B$8)</x:f>
        <x:v>3028.6188</x:v>
      </x:c>
      <x:c r="J43" s="2"/>
      <x:c r="K43" s="2"/>
      <x:c r="L43" s="2"/>
      <x:c r="M43" s="2"/>
      <x:c r="N43" s="2"/>
    </x:row>
    <x:row r="44" ht="22" customHeight="1">
      <x:c r="A44" s="2" t="n">
        <x:v>751</x:v>
      </x:c>
      <x:c r="B44" s="2" t="str">
        <x:v>2024-07</x:v>
      </x:c>
      <x:c r="C44" s="2" t="str">
        <x:v>Self employed</x:v>
      </x:c>
      <x:c r="D44" s="2" t="str">
        <x:v>Group B</x:v>
      </x:c>
      <x:c r="E44" s="15" t="n">
        <x:v>15922.76</x:v>
      </x:c>
      <x:c r="F44" s="2" t="n">
        <x:v>0</x:v>
      </x:c>
      <x:c r="G44" s="19" t="n">
        <x:v>0.402344</x:v>
      </x:c>
      <x:c r="H44" s="2" t="n">
        <x:f>IF(G44&lt;$B$6,1,0)</x:f>
        <x:v>0</x:v>
      </x:c>
      <x:c r="I44" s="15" t="n">
        <x:f>H44*IF(F44=0,E44*$B$7,-E44*$B$8)</x:f>
        <x:v>0</x:v>
      </x:c>
      <x:c r="J44" s="2"/>
      <x:c r="K44" s="2"/>
      <x:c r="L44" s="2"/>
      <x:c r="M44" s="2"/>
      <x:c r="N44" s="2"/>
    </x:row>
    <x:row r="45" ht="22" customHeight="1">
      <x:c r="A45" s="2" t="n">
        <x:v>816</x:v>
      </x:c>
      <x:c r="B45" s="2" t="str">
        <x:v>2024-07</x:v>
      </x:c>
      <x:c r="C45" s="2" t="str">
        <x:v>Salaried</x:v>
      </x:c>
      <x:c r="D45" s="2" t="str">
        <x:v>Group B</x:v>
      </x:c>
      <x:c r="E45" s="15" t="n">
        <x:v>9776.84</x:v>
      </x:c>
      <x:c r="F45" s="2" t="n">
        <x:v>1</x:v>
      </x:c>
      <x:c r="G45" s="19" t="n">
        <x:v>0.26374</x:v>
      </x:c>
      <x:c r="H45" s="2" t="n">
        <x:f>IF(G45&lt;$B$6,1,0)</x:f>
        <x:v>0</x:v>
      </x:c>
      <x:c r="I45" s="15" t="n">
        <x:f>H45*IF(F45=0,E45*$B$7,-E45*$B$8)</x:f>
        <x:v>0</x:v>
      </x:c>
      <x:c r="J45" s="2"/>
      <x:c r="K45" s="2"/>
      <x:c r="L45" s="2"/>
      <x:c r="M45" s="2"/>
      <x:c r="N45" s="2"/>
    </x:row>
    <x:row r="46" ht="22" customHeight="1">
      <x:c r="A46" s="2" t="n">
        <x:v>957</x:v>
      </x:c>
      <x:c r="B46" s="2" t="str">
        <x:v>2024-07</x:v>
      </x:c>
      <x:c r="C46" s="2" t="str">
        <x:v>Salaried</x:v>
      </x:c>
      <x:c r="D46" s="2" t="str">
        <x:v>Group B</x:v>
      </x:c>
      <x:c r="E46" s="15" t="n">
        <x:v>18062.05</x:v>
      </x:c>
      <x:c r="F46" s="2" t="n">
        <x:v>1</x:v>
      </x:c>
      <x:c r="G46" s="19" t="n">
        <x:v>0.127854</x:v>
      </x:c>
      <x:c r="H46" s="2" t="n">
        <x:f>IF(G46&lt;$B$6,1,0)</x:f>
        <x:v>1</x:v>
      </x:c>
      <x:c r="I46" s="15" t="n">
        <x:f>H46*IF(F46=0,E46*$B$7,-E46*$B$8)</x:f>
        <x:v>-11740.3325</x:v>
      </x:c>
      <x:c r="J46" s="2"/>
      <x:c r="K46" s="2"/>
      <x:c r="L46" s="2"/>
      <x:c r="M46" s="2"/>
      <x:c r="N46" s="2"/>
    </x:row>
    <x:row r="47" ht="22" customHeight="1">
      <x:c r="A47" s="2" t="n">
        <x:v>1044</x:v>
      </x:c>
      <x:c r="B47" s="2" t="str">
        <x:v>2024-07</x:v>
      </x:c>
      <x:c r="C47" s="2" t="str">
        <x:v>Salaried</x:v>
      </x:c>
      <x:c r="D47" s="2" t="str">
        <x:v>Group A</x:v>
      </x:c>
      <x:c r="E47" s="15" t="n">
        <x:v>24465.41</x:v>
      </x:c>
      <x:c r="F47" s="2" t="n">
        <x:v>0</x:v>
      </x:c>
      <x:c r="G47" s="19" t="n">
        <x:v>0.198123</x:v>
      </x:c>
      <x:c r="H47" s="2" t="n">
        <x:f>IF(G47&lt;$B$6,1,0)</x:f>
        <x:v>0</x:v>
      </x:c>
      <x:c r="I47" s="15" t="n">
        <x:f>H47*IF(F47=0,E47*$B$7,-E47*$B$8)</x:f>
        <x:v>0</x:v>
      </x:c>
      <x:c r="J47" s="2"/>
      <x:c r="K47" s="2"/>
      <x:c r="L47" s="2"/>
      <x:c r="M47" s="2"/>
      <x:c r="N47" s="2"/>
    </x:row>
    <x:row r="48" ht="22" customHeight="1">
      <x:c r="A48" s="2" t="n">
        <x:v>1064</x:v>
      </x:c>
      <x:c r="B48" s="2" t="str">
        <x:v>2024-07</x:v>
      </x:c>
      <x:c r="C48" s="2" t="str">
        <x:v>Salaried</x:v>
      </x:c>
      <x:c r="D48" s="2" t="str">
        <x:v>Group A</x:v>
      </x:c>
      <x:c r="E48" s="15" t="n">
        <x:v>7537.34</x:v>
      </x:c>
      <x:c r="F48" s="2" t="n">
        <x:v>1</x:v>
      </x:c>
      <x:c r="G48" s="19" t="n">
        <x:v>0.215448</x:v>
      </x:c>
      <x:c r="H48" s="2" t="n">
        <x:f>IF(G48&lt;$B$6,1,0)</x:f>
        <x:v>0</x:v>
      </x:c>
      <x:c r="I48" s="15" t="n">
        <x:f>H48*IF(F48=0,E48*$B$7,-E48*$B$8)</x:f>
        <x:v>0</x:v>
      </x:c>
      <x:c r="J48" s="2"/>
      <x:c r="K48" s="2"/>
      <x:c r="L48" s="2"/>
      <x:c r="M48" s="2"/>
      <x:c r="N48" s="2"/>
    </x:row>
    <x:row r="49" ht="22" customHeight="1">
      <x:c r="A49" s="2" t="n">
        <x:v>1079</x:v>
      </x:c>
      <x:c r="B49" s="2" t="str">
        <x:v>2024-07</x:v>
      </x:c>
      <x:c r="C49" s="2" t="str">
        <x:v>Contract</x:v>
      </x:c>
      <x:c r="D49" s="2" t="str">
        <x:v>Group A</x:v>
      </x:c>
      <x:c r="E49" s="15" t="n">
        <x:v>38064.44</x:v>
      </x:c>
      <x:c r="F49" s="2" t="n">
        <x:v>1</x:v>
      </x:c>
      <x:c r="G49" s="19" t="n">
        <x:v>0.588767</x:v>
      </x:c>
      <x:c r="H49" s="2" t="n">
        <x:f>IF(G49&lt;$B$6,1,0)</x:f>
        <x:v>0</x:v>
      </x:c>
      <x:c r="I49" s="15" t="n">
        <x:f>H49*IF(F49=0,E49*$B$7,-E49*$B$8)</x:f>
        <x:v>0</x:v>
      </x:c>
      <x:c r="J49" s="2"/>
      <x:c r="K49" s="2"/>
      <x:c r="L49" s="2"/>
      <x:c r="M49" s="2"/>
      <x:c r="N49" s="2"/>
    </x:row>
    <x:row r="50" ht="22" customHeight="1">
      <x:c r="A50" s="2" t="n">
        <x:v>1122</x:v>
      </x:c>
      <x:c r="B50" s="2" t="str">
        <x:v>2024-07</x:v>
      </x:c>
      <x:c r="C50" s="2" t="str">
        <x:v>Self employed</x:v>
      </x:c>
      <x:c r="D50" s="2" t="str">
        <x:v>Group B</x:v>
      </x:c>
      <x:c r="E50" s="15" t="n">
        <x:v>10445</x:v>
      </x:c>
      <x:c r="F50" s="2" t="n">
        <x:v>0</x:v>
      </x:c>
      <x:c r="G50" s="19" t="n">
        <x:v>0.527001</x:v>
      </x:c>
      <x:c r="H50" s="2" t="n">
        <x:f>IF(G50&lt;$B$6,1,0)</x:f>
        <x:v>0</x:v>
      </x:c>
      <x:c r="I50" s="15" t="n">
        <x:f>H50*IF(F50=0,E50*$B$7,-E50*$B$8)</x:f>
        <x:v>0</x:v>
      </x:c>
      <x:c r="J50" s="2"/>
      <x:c r="K50" s="2"/>
      <x:c r="L50" s="2"/>
      <x:c r="M50" s="2"/>
      <x:c r="N50" s="2"/>
    </x:row>
    <x:row r="51">
      <x:c r="A51" t="n">
        <x:v>1168</x:v>
      </x:c>
      <x:c r="B51" t="str">
        <x:v>2024-07</x:v>
      </x:c>
      <x:c r="C51" t="str">
        <x:v>Salaried</x:v>
      </x:c>
      <x:c r="D51" t="str">
        <x:v>Group A</x:v>
      </x:c>
      <x:c r="E51" s="26" t="n">
        <x:v>10508.21</x:v>
      </x:c>
      <x:c r="F51" t="n">
        <x:v>0</x:v>
      </x:c>
      <x:c r="G51" s="25" t="n">
        <x:v>0.119903</x:v>
      </x:c>
      <x:c r="H51" t="n">
        <x:f>IF(G51&lt;$B$6,1,0)</x:f>
        <x:v>1</x:v>
      </x:c>
      <x:c r="I51" s="26" t="n">
        <x:f>H51*IF(F51=0,E51*$B$7,-E51*$B$8)</x:f>
        <x:v>1260.9851999999998</x:v>
      </x:c>
    </x:row>
    <x:row r="52">
      <x:c r="A52" t="n">
        <x:v>1175</x:v>
      </x:c>
      <x:c r="B52" t="str">
        <x:v>2024-07</x:v>
      </x:c>
      <x:c r="C52" t="str">
        <x:v>Salaried</x:v>
      </x:c>
      <x:c r="D52" t="str">
        <x:v>Group B</x:v>
      </x:c>
      <x:c r="E52" s="26" t="n">
        <x:v>19184.73</x:v>
      </x:c>
      <x:c r="F52" t="n">
        <x:v>1</x:v>
      </x:c>
      <x:c r="G52" s="25" t="n">
        <x:v>0.375769</x:v>
      </x:c>
      <x:c r="H52" t="n">
        <x:f>IF(G52&lt;$B$6,1,0)</x:f>
        <x:v>0</x:v>
      </x:c>
      <x:c r="I52" s="26" t="n">
        <x:f>H52*IF(F52=0,E52*$B$7,-E52*$B$8)</x:f>
        <x:v>0</x:v>
      </x:c>
    </x:row>
    <x:row r="53">
      <x:c r="A53" t="n">
        <x:v>1183</x:v>
      </x:c>
      <x:c r="B53" t="str">
        <x:v>2024-07</x:v>
      </x:c>
      <x:c r="C53" t="str">
        <x:v>Salaried</x:v>
      </x:c>
      <x:c r="D53" t="str">
        <x:v>Group A</x:v>
      </x:c>
      <x:c r="E53" s="26" t="n">
        <x:v>5099.98</x:v>
      </x:c>
      <x:c r="F53" t="n">
        <x:v>0</x:v>
      </x:c>
      <x:c r="G53" s="25" t="n">
        <x:v>0.237359</x:v>
      </x:c>
      <x:c r="H53" t="n">
        <x:f>IF(G53&lt;$B$6,1,0)</x:f>
        <x:v>0</x:v>
      </x:c>
      <x:c r="I53" s="26" t="n">
        <x:f>H53*IF(F53=0,E53*$B$7,-E53*$B$8)</x:f>
        <x:v>0</x:v>
      </x:c>
    </x:row>
    <x:row r="54">
      <x:c r="A54" t="n">
        <x:v>1189</x:v>
      </x:c>
      <x:c r="B54" t="str">
        <x:v>2024-07</x:v>
      </x:c>
      <x:c r="C54" t="str">
        <x:v>Contract</x:v>
      </x:c>
      <x:c r="D54" t="str">
        <x:v>Group A</x:v>
      </x:c>
      <x:c r="E54" s="26" t="n">
        <x:v>17969.11</x:v>
      </x:c>
      <x:c r="F54" t="n">
        <x:v>0</x:v>
      </x:c>
      <x:c r="G54" s="25" t="n">
        <x:v>0.336328</x:v>
      </x:c>
      <x:c r="H54" t="n">
        <x:f>IF(G54&lt;$B$6,1,0)</x:f>
        <x:v>0</x:v>
      </x:c>
      <x:c r="I54" s="26" t="n">
        <x:f>H54*IF(F54=0,E54*$B$7,-E54*$B$8)</x:f>
        <x:v>0</x:v>
      </x:c>
    </x:row>
    <x:row r="55">
      <x:c r="A55" t="n">
        <x:v>1244</x:v>
      </x:c>
      <x:c r="B55" t="str">
        <x:v>2024-07</x:v>
      </x:c>
      <x:c r="C55" t="str">
        <x:v>Salaried</x:v>
      </x:c>
      <x:c r="D55" t="str">
        <x:v>Group A</x:v>
      </x:c>
      <x:c r="E55" s="26" t="n">
        <x:v>14938.48</x:v>
      </x:c>
      <x:c r="F55" t="n">
        <x:v>0</x:v>
      </x:c>
      <x:c r="G55" s="25" t="n">
        <x:v>0.144411</x:v>
      </x:c>
      <x:c r="H55" t="n">
        <x:f>IF(G55&lt;$B$6,1,0)</x:f>
        <x:v>1</x:v>
      </x:c>
      <x:c r="I55" s="26" t="n">
        <x:f>H55*IF(F55=0,E55*$B$7,-E55*$B$8)</x:f>
        <x:v>1792.6175999999998</x:v>
      </x:c>
    </x:row>
    <x:row r="56">
      <x:c r="A56" t="n">
        <x:v>1276</x:v>
      </x:c>
      <x:c r="B56" t="str">
        <x:v>2024-07</x:v>
      </x:c>
      <x:c r="C56" t="str">
        <x:v>Salaried</x:v>
      </x:c>
      <x:c r="D56" t="str">
        <x:v>Group A</x:v>
      </x:c>
      <x:c r="E56" s="26" t="n">
        <x:v>13444.63</x:v>
      </x:c>
      <x:c r="F56" t="n">
        <x:v>0</x:v>
      </x:c>
      <x:c r="G56" s="25" t="n">
        <x:v>0.221159</x:v>
      </x:c>
      <x:c r="H56" t="n">
        <x:f>IF(G56&lt;$B$6,1,0)</x:f>
        <x:v>0</x:v>
      </x:c>
      <x:c r="I56" s="26" t="n">
        <x:f>H56*IF(F56=0,E56*$B$7,-E56*$B$8)</x:f>
        <x:v>0</x:v>
      </x:c>
    </x:row>
    <x:row r="57">
      <x:c r="A57" t="n">
        <x:v>1282</x:v>
      </x:c>
      <x:c r="B57" t="str">
        <x:v>2024-07</x:v>
      </x:c>
      <x:c r="C57" t="str">
        <x:v>Salaried</x:v>
      </x:c>
      <x:c r="D57" t="str">
        <x:v>Group A</x:v>
      </x:c>
      <x:c r="E57" s="26" t="n">
        <x:v>24158.33</x:v>
      </x:c>
      <x:c r="F57" t="n">
        <x:v>0</x:v>
      </x:c>
      <x:c r="G57" s="25" t="n">
        <x:v>0.122372</x:v>
      </x:c>
      <x:c r="H57" t="n">
        <x:f>IF(G57&lt;$B$6,1,0)</x:f>
        <x:v>1</x:v>
      </x:c>
      <x:c r="I57" s="26" t="n">
        <x:f>H57*IF(F57=0,E57*$B$7,-E57*$B$8)</x:f>
        <x:v>2898.9996</x:v>
      </x:c>
    </x:row>
    <x:row r="58">
      <x:c r="A58" t="n">
        <x:v>1294</x:v>
      </x:c>
      <x:c r="B58" t="str">
        <x:v>2024-07</x:v>
      </x:c>
      <x:c r="C58" t="str">
        <x:v>Salaried</x:v>
      </x:c>
      <x:c r="D58" t="str">
        <x:v>Group A</x:v>
      </x:c>
      <x:c r="E58" s="26" t="n">
        <x:v>9138.11</x:v>
      </x:c>
      <x:c r="F58" t="n">
        <x:v>0</x:v>
      </x:c>
      <x:c r="G58" s="25" t="n">
        <x:v>0.238427</x:v>
      </x:c>
      <x:c r="H58" t="n">
        <x:f>IF(G58&lt;$B$6,1,0)</x:f>
        <x:v>0</x:v>
      </x:c>
      <x:c r="I58" s="26" t="n">
        <x:f>H58*IF(F58=0,E58*$B$7,-E58*$B$8)</x:f>
        <x:v>0</x:v>
      </x:c>
    </x:row>
    <x:row r="59">
      <x:c r="A59" t="n">
        <x:v>1338</x:v>
      </x:c>
      <x:c r="B59" t="str">
        <x:v>2024-07</x:v>
      </x:c>
      <x:c r="C59" t="str">
        <x:v>Salaried</x:v>
      </x:c>
      <x:c r="D59" t="str">
        <x:v>Group A</x:v>
      </x:c>
      <x:c r="E59" s="26" t="n">
        <x:v>26057.43</x:v>
      </x:c>
      <x:c r="F59" t="n">
        <x:v>0</x:v>
      </x:c>
      <x:c r="G59" s="25" t="n">
        <x:v>0.135305</x:v>
      </x:c>
      <x:c r="H59" t="n">
        <x:f>IF(G59&lt;$B$6,1,0)</x:f>
        <x:v>1</x:v>
      </x:c>
      <x:c r="I59" s="26" t="n">
        <x:f>H59*IF(F59=0,E59*$B$7,-E59*$B$8)</x:f>
        <x:v>3126.8916</x:v>
      </x:c>
    </x:row>
    <x:row r="60">
      <x:c r="A60" t="n">
        <x:v>1359</x:v>
      </x:c>
      <x:c r="B60" t="str">
        <x:v>2024-07</x:v>
      </x:c>
      <x:c r="C60" t="str">
        <x:v>Self employed</x:v>
      </x:c>
      <x:c r="D60" t="str">
        <x:v>Group A</x:v>
      </x:c>
      <x:c r="E60" s="26" t="n">
        <x:v>19356.04</x:v>
      </x:c>
      <x:c r="F60" t="n">
        <x:v>0</x:v>
      </x:c>
      <x:c r="G60" s="25" t="n">
        <x:v>0.099341</x:v>
      </x:c>
      <x:c r="H60" t="n">
        <x:f>IF(G60&lt;$B$6,1,0)</x:f>
        <x:v>1</x:v>
      </x:c>
      <x:c r="I60" s="26" t="n">
        <x:f>H60*IF(F60=0,E60*$B$7,-E60*$B$8)</x:f>
        <x:v>2322.7248</x:v>
      </x:c>
    </x:row>
    <x:row r="61">
      <x:c r="A61" t="n">
        <x:v>1360</x:v>
      </x:c>
      <x:c r="B61" t="str">
        <x:v>2024-07</x:v>
      </x:c>
      <x:c r="C61" t="str">
        <x:v>Salaried</x:v>
      </x:c>
      <x:c r="D61" t="str">
        <x:v>Group A</x:v>
      </x:c>
      <x:c r="E61" s="26" t="n">
        <x:v>11011.59</x:v>
      </x:c>
      <x:c r="F61" t="n">
        <x:v>0</x:v>
      </x:c>
      <x:c r="G61" s="25" t="n">
        <x:v>0.083398</x:v>
      </x:c>
      <x:c r="H61" t="n">
        <x:f>IF(G61&lt;$B$6,1,0)</x:f>
        <x:v>1</x:v>
      </x:c>
      <x:c r="I61" s="26" t="n">
        <x:f>H61*IF(F61=0,E61*$B$7,-E61*$B$8)</x:f>
        <x:v>1321.3908</x:v>
      </x:c>
    </x:row>
    <x:row r="62">
      <x:c r="A62" t="n">
        <x:v>1362</x:v>
      </x:c>
      <x:c r="B62" t="str">
        <x:v>2024-07</x:v>
      </x:c>
      <x:c r="C62" t="str">
        <x:v>Salaried</x:v>
      </x:c>
      <x:c r="D62" t="str">
        <x:v>Group A</x:v>
      </x:c>
      <x:c r="E62" s="26" t="n">
        <x:v>19861.13</x:v>
      </x:c>
      <x:c r="F62" t="n">
        <x:v>0</x:v>
      </x:c>
      <x:c r="G62" s="25" t="n">
        <x:v>0.076319</x:v>
      </x:c>
      <x:c r="H62" t="n">
        <x:f>IF(G62&lt;$B$6,1,0)</x:f>
        <x:v>1</x:v>
      </x:c>
      <x:c r="I62" s="26" t="n">
        <x:f>H62*IF(F62=0,E62*$B$7,-E62*$B$8)</x:f>
        <x:v>2383.3356</x:v>
      </x:c>
    </x:row>
    <x:row r="63">
      <x:c r="A63" t="n">
        <x:v>1413</x:v>
      </x:c>
      <x:c r="B63" t="str">
        <x:v>2024-07</x:v>
      </x:c>
      <x:c r="C63" t="str">
        <x:v>Salaried</x:v>
      </x:c>
      <x:c r="D63" t="str">
        <x:v>Group A</x:v>
      </x:c>
      <x:c r="E63" s="26" t="n">
        <x:v>16411.78</x:v>
      </x:c>
      <x:c r="F63" t="n">
        <x:v>1</x:v>
      </x:c>
      <x:c r="G63" s="25" t="n">
        <x:v>0.147092</x:v>
      </x:c>
      <x:c r="H63" t="n">
        <x:f>IF(G63&lt;$B$6,1,0)</x:f>
        <x:v>1</x:v>
      </x:c>
      <x:c r="I63" s="26" t="n">
        <x:f>H63*IF(F63=0,E63*$B$7,-E63*$B$8)</x:f>
        <x:v>-10667.657</x:v>
      </x:c>
    </x:row>
    <x:row r="64">
      <x:c r="A64" t="n">
        <x:v>1430</x:v>
      </x:c>
      <x:c r="B64" t="str">
        <x:v>2024-07</x:v>
      </x:c>
      <x:c r="C64" t="str">
        <x:v>Salaried</x:v>
      </x:c>
      <x:c r="D64" t="str">
        <x:v>Group B</x:v>
      </x:c>
      <x:c r="E64" s="26" t="n">
        <x:v>4215.81</x:v>
      </x:c>
      <x:c r="F64" t="n">
        <x:v>0</x:v>
      </x:c>
      <x:c r="G64" s="25" t="n">
        <x:v>0.061052</x:v>
      </x:c>
      <x:c r="H64" t="n">
        <x:f>IF(G64&lt;$B$6,1,0)</x:f>
        <x:v>1</x:v>
      </x:c>
      <x:c r="I64" s="26" t="n">
        <x:f>H64*IF(F64=0,E64*$B$7,-E64*$B$8)</x:f>
        <x:v>505.89720000000005</x:v>
      </x:c>
    </x:row>
    <x:row r="65">
      <x:c r="A65" t="n">
        <x:v>1469</x:v>
      </x:c>
      <x:c r="B65" t="str">
        <x:v>2024-07</x:v>
      </x:c>
      <x:c r="C65" t="str">
        <x:v>Salaried</x:v>
      </x:c>
      <x:c r="D65" t="str">
        <x:v>Group A</x:v>
      </x:c>
      <x:c r="E65" s="26" t="n">
        <x:v>7143.16</x:v>
      </x:c>
      <x:c r="F65" t="n">
        <x:v>0</x:v>
      </x:c>
      <x:c r="G65" s="25" t="n">
        <x:v>0.437012</x:v>
      </x:c>
      <x:c r="H65" t="n">
        <x:f>IF(G65&lt;$B$6,1,0)</x:f>
        <x:v>0</x:v>
      </x:c>
      <x:c r="I65" s="26" t="n">
        <x:f>H65*IF(F65=0,E65*$B$7,-E65*$B$8)</x:f>
        <x:v>0</x:v>
      </x:c>
    </x:row>
    <x:row r="66">
      <x:c r="A66" t="n">
        <x:v>1512</x:v>
      </x:c>
      <x:c r="B66" t="str">
        <x:v>2024-07</x:v>
      </x:c>
      <x:c r="C66" t="str">
        <x:v>Contract</x:v>
      </x:c>
      <x:c r="D66" t="str">
        <x:v>Group A</x:v>
      </x:c>
      <x:c r="E66" s="26" t="n">
        <x:v>20727.77</x:v>
      </x:c>
      <x:c r="F66" t="n">
        <x:v>0</x:v>
      </x:c>
      <x:c r="G66" s="25" t="n">
        <x:v>0.218294</x:v>
      </x:c>
      <x:c r="H66" t="n">
        <x:f>IF(G66&lt;$B$6,1,0)</x:f>
        <x:v>0</x:v>
      </x:c>
      <x:c r="I66" s="26" t="n">
        <x:f>H66*IF(F66=0,E66*$B$7,-E66*$B$8)</x:f>
        <x:v>0</x:v>
      </x:c>
    </x:row>
    <x:row r="67">
      <x:c r="A67" t="n">
        <x:v>1525</x:v>
      </x:c>
      <x:c r="B67" t="str">
        <x:v>2024-07</x:v>
      </x:c>
      <x:c r="C67" t="str">
        <x:v>Salaried</x:v>
      </x:c>
      <x:c r="D67" t="str">
        <x:v>Group B</x:v>
      </x:c>
      <x:c r="E67" s="26" t="n">
        <x:v>6276.1</x:v>
      </x:c>
      <x:c r="F67" t="n">
        <x:v>1</x:v>
      </x:c>
      <x:c r="G67" s="25" t="n">
        <x:v>0.517993</x:v>
      </x:c>
      <x:c r="H67" t="n">
        <x:f>IF(G67&lt;$B$6,1,0)</x:f>
        <x:v>0</x:v>
      </x:c>
      <x:c r="I67" s="26" t="n">
        <x:f>H67*IF(F67=0,E67*$B$7,-E67*$B$8)</x:f>
        <x:v>0</x:v>
      </x:c>
    </x:row>
    <x:row r="68">
      <x:c r="A68" t="n">
        <x:v>1629</x:v>
      </x:c>
      <x:c r="B68" t="str">
        <x:v>2024-07</x:v>
      </x:c>
      <x:c r="C68" t="str">
        <x:v>Contract</x:v>
      </x:c>
      <x:c r="D68" t="str">
        <x:v>Group B</x:v>
      </x:c>
      <x:c r="E68" s="26" t="n">
        <x:v>17751.85</x:v>
      </x:c>
      <x:c r="F68" t="n">
        <x:v>0</x:v>
      </x:c>
      <x:c r="G68" s="25" t="n">
        <x:v>0.37622</x:v>
      </x:c>
      <x:c r="H68" t="n">
        <x:f>IF(G68&lt;$B$6,1,0)</x:f>
        <x:v>0</x:v>
      </x:c>
      <x:c r="I68" s="26" t="n">
        <x:f>H68*IF(F68=0,E68*$B$7,-E68*$B$8)</x:f>
        <x:v>0</x:v>
      </x:c>
    </x:row>
    <x:row r="69">
      <x:c r="A69" t="n">
        <x:v>1656</x:v>
      </x:c>
      <x:c r="B69" t="str">
        <x:v>2024-07</x:v>
      </x:c>
      <x:c r="C69" t="str">
        <x:v>Salaried</x:v>
      </x:c>
      <x:c r="D69" t="str">
        <x:v>Group A</x:v>
      </x:c>
      <x:c r="E69" s="26" t="n">
        <x:v>10861.65</x:v>
      </x:c>
      <x:c r="F69" t="n">
        <x:v>0</x:v>
      </x:c>
      <x:c r="G69" s="25" t="n">
        <x:v>0.064067</x:v>
      </x:c>
      <x:c r="H69" t="n">
        <x:f>IF(G69&lt;$B$6,1,0)</x:f>
        <x:v>1</x:v>
      </x:c>
      <x:c r="I69" s="26" t="n">
        <x:f>H69*IF(F69=0,E69*$B$7,-E69*$B$8)</x:f>
        <x:v>1303.398</x:v>
      </x:c>
    </x:row>
    <x:row r="70">
      <x:c r="A70" t="n">
        <x:v>1801</x:v>
      </x:c>
      <x:c r="B70" t="str">
        <x:v>2024-07</x:v>
      </x:c>
      <x:c r="C70" t="str">
        <x:v>Salaried</x:v>
      </x:c>
      <x:c r="D70" t="str">
        <x:v>Group A</x:v>
      </x:c>
      <x:c r="E70" s="26" t="n">
        <x:v>22462.45</x:v>
      </x:c>
      <x:c r="F70" t="n">
        <x:v>0</x:v>
      </x:c>
      <x:c r="G70" s="25" t="n">
        <x:v>0.098576</x:v>
      </x:c>
      <x:c r="H70" t="n">
        <x:f>IF(G70&lt;$B$6,1,0)</x:f>
        <x:v>1</x:v>
      </x:c>
      <x:c r="I70" s="26" t="n">
        <x:f>H70*IF(F70=0,E70*$B$7,-E70*$B$8)</x:f>
        <x:v>2695.494</x:v>
      </x:c>
    </x:row>
    <x:row r="71">
      <x:c r="A71" t="n">
        <x:v>1835</x:v>
      </x:c>
      <x:c r="B71" t="str">
        <x:v>2024-07</x:v>
      </x:c>
      <x:c r="C71" t="str">
        <x:v>Salaried</x:v>
      </x:c>
      <x:c r="D71" t="str">
        <x:v>Group A</x:v>
      </x:c>
      <x:c r="E71" s="26" t="n">
        <x:v>45950.54</x:v>
      </x:c>
      <x:c r="F71" t="n">
        <x:v>0</x:v>
      </x:c>
      <x:c r="G71" s="25" t="n">
        <x:v>0.09767</x:v>
      </x:c>
      <x:c r="H71" t="n">
        <x:f>IF(G71&lt;$B$6,1,0)</x:f>
        <x:v>1</x:v>
      </x:c>
      <x:c r="I71" s="26" t="n">
        <x:f>H71*IF(F71=0,E71*$B$7,-E71*$B$8)</x:f>
        <x:v>5514.0648</x:v>
      </x:c>
    </x:row>
    <x:row r="72">
      <x:c r="A72" t="n">
        <x:v>1839</x:v>
      </x:c>
      <x:c r="B72" t="str">
        <x:v>2024-07</x:v>
      </x:c>
      <x:c r="C72" t="str">
        <x:v>Salaried</x:v>
      </x:c>
      <x:c r="D72" t="str">
        <x:v>Group A</x:v>
      </x:c>
      <x:c r="E72" s="26" t="n">
        <x:v>37175.41</x:v>
      </x:c>
      <x:c r="F72" t="n">
        <x:v>0</x:v>
      </x:c>
      <x:c r="G72" s="25" t="n">
        <x:v>0.351445</x:v>
      </x:c>
      <x:c r="H72" t="n">
        <x:f>IF(G72&lt;$B$6,1,0)</x:f>
        <x:v>0</x:v>
      </x:c>
      <x:c r="I72" s="26" t="n">
        <x:f>H72*IF(F72=0,E72*$B$7,-E72*$B$8)</x:f>
        <x:v>0</x:v>
      </x:c>
    </x:row>
    <x:row r="73">
      <x:c r="A73" t="n">
        <x:v>1858</x:v>
      </x:c>
      <x:c r="B73" t="str">
        <x:v>2024-07</x:v>
      </x:c>
      <x:c r="C73" t="str">
        <x:v>Salaried</x:v>
      </x:c>
      <x:c r="D73" t="str">
        <x:v>Group A</x:v>
      </x:c>
      <x:c r="E73" s="26" t="n">
        <x:v>16664.03</x:v>
      </x:c>
      <x:c r="F73" t="n">
        <x:v>0</x:v>
      </x:c>
      <x:c r="G73" s="25" t="n">
        <x:v>0.416696</x:v>
      </x:c>
      <x:c r="H73" t="n">
        <x:f>IF(G73&lt;$B$6,1,0)</x:f>
        <x:v>0</x:v>
      </x:c>
      <x:c r="I73" s="26" t="n">
        <x:f>H73*IF(F73=0,E73*$B$7,-E73*$B$8)</x:f>
        <x:v>0</x:v>
      </x:c>
    </x:row>
    <x:row r="74">
      <x:c r="A74" t="n">
        <x:v>1891</x:v>
      </x:c>
      <x:c r="B74" t="str">
        <x:v>2024-07</x:v>
      </x:c>
      <x:c r="C74" t="str">
        <x:v>Contract</x:v>
      </x:c>
      <x:c r="D74" t="str">
        <x:v>Group B</x:v>
      </x:c>
      <x:c r="E74" s="26" t="n">
        <x:v>13724.36</x:v>
      </x:c>
      <x:c r="F74" t="n">
        <x:v>0</x:v>
      </x:c>
      <x:c r="G74" s="25" t="n">
        <x:v>0.140395</x:v>
      </x:c>
      <x:c r="H74" t="n">
        <x:f>IF(G74&lt;$B$6,1,0)</x:f>
        <x:v>1</x:v>
      </x:c>
      <x:c r="I74" s="26" t="n">
        <x:f>H74*IF(F74=0,E74*$B$7,-E74*$B$8)</x:f>
        <x:v>1646.9232</x:v>
      </x:c>
    </x:row>
    <x:row r="75">
      <x:c r="A75" t="n">
        <x:v>1901</x:v>
      </x:c>
      <x:c r="B75" t="str">
        <x:v>2024-07</x:v>
      </x:c>
      <x:c r="C75" t="str">
        <x:v>Salaried</x:v>
      </x:c>
      <x:c r="D75" t="str">
        <x:v>Group A</x:v>
      </x:c>
      <x:c r="E75" s="26" t="n">
        <x:v>12839.27</x:v>
      </x:c>
      <x:c r="F75" t="n">
        <x:v>0</x:v>
      </x:c>
      <x:c r="G75" s="25" t="n">
        <x:v>0.134215</x:v>
      </x:c>
      <x:c r="H75" t="n">
        <x:f>IF(G75&lt;$B$6,1,0)</x:f>
        <x:v>1</x:v>
      </x:c>
      <x:c r="I75" s="26" t="n">
        <x:f>H75*IF(F75=0,E75*$B$7,-E75*$B$8)</x:f>
        <x:v>1540.7124</x:v>
      </x:c>
    </x:row>
    <x:row r="76">
      <x:c r="A76" t="n">
        <x:v>1906</x:v>
      </x:c>
      <x:c r="B76" t="str">
        <x:v>2024-07</x:v>
      </x:c>
      <x:c r="C76" t="str">
        <x:v>Salaried</x:v>
      </x:c>
      <x:c r="D76" t="str">
        <x:v>Group B</x:v>
      </x:c>
      <x:c r="E76" s="26" t="n">
        <x:v>68861.27</x:v>
      </x:c>
      <x:c r="F76" t="n">
        <x:v>0</x:v>
      </x:c>
      <x:c r="G76" s="25" t="n">
        <x:v>0.291912</x:v>
      </x:c>
      <x:c r="H76" t="n">
        <x:f>IF(G76&lt;$B$6,1,0)</x:f>
        <x:v>0</x:v>
      </x:c>
      <x:c r="I76" s="26" t="n">
        <x:f>H76*IF(F76=0,E76*$B$7,-E76*$B$8)</x:f>
        <x:v>0</x:v>
      </x:c>
    </x:row>
    <x:row r="77">
      <x:c r="A77" t="n">
        <x:v>1944</x:v>
      </x:c>
      <x:c r="B77" t="str">
        <x:v>2024-07</x:v>
      </x:c>
      <x:c r="C77" t="str">
        <x:v>Salaried</x:v>
      </x:c>
      <x:c r="D77" t="str">
        <x:v>Group A</x:v>
      </x:c>
      <x:c r="E77" s="26" t="n">
        <x:v>12566.35</x:v>
      </x:c>
      <x:c r="F77" t="n">
        <x:v>0</x:v>
      </x:c>
      <x:c r="G77" s="25" t="n">
        <x:v>0.026328</x:v>
      </x:c>
      <x:c r="H77" t="n">
        <x:f>IF(G77&lt;$B$6,1,0)</x:f>
        <x:v>1</x:v>
      </x:c>
      <x:c r="I77" s="26" t="n">
        <x:f>H77*IF(F77=0,E77*$B$7,-E77*$B$8)</x:f>
        <x:v>1507.962</x:v>
      </x:c>
    </x:row>
    <x:row r="78">
      <x:c r="A78" t="n">
        <x:v>1960</x:v>
      </x:c>
      <x:c r="B78" t="str">
        <x:v>2024-07</x:v>
      </x:c>
      <x:c r="C78" t="str">
        <x:v>Salaried</x:v>
      </x:c>
      <x:c r="D78" t="str">
        <x:v>Group B</x:v>
      </x:c>
      <x:c r="E78" s="26" t="n">
        <x:v>30667.39</x:v>
      </x:c>
      <x:c r="F78" t="n">
        <x:v>1</x:v>
      </x:c>
      <x:c r="G78" s="25" t="n">
        <x:v>0.230896</x:v>
      </x:c>
      <x:c r="H78" t="n">
        <x:f>IF(G78&lt;$B$6,1,0)</x:f>
        <x:v>0</x:v>
      </x:c>
      <x:c r="I78" s="26" t="n">
        <x:f>H78*IF(F78=0,E78*$B$7,-E78*$B$8)</x:f>
        <x:v>0</x:v>
      </x:c>
    </x:row>
    <x:row r="79">
      <x:c r="A79" t="n">
        <x:v>1975</x:v>
      </x:c>
      <x:c r="B79" t="str">
        <x:v>2024-07</x:v>
      </x:c>
      <x:c r="C79" t="str">
        <x:v>Salaried</x:v>
      </x:c>
      <x:c r="D79" t="str">
        <x:v>Group B</x:v>
      </x:c>
      <x:c r="E79" s="26" t="n">
        <x:v>30438.66</x:v>
      </x:c>
      <x:c r="F79" t="n">
        <x:v>1</x:v>
      </x:c>
      <x:c r="G79" s="25" t="n">
        <x:v>0.579588</x:v>
      </x:c>
      <x:c r="H79" t="n">
        <x:f>IF(G79&lt;$B$6,1,0)</x:f>
        <x:v>0</x:v>
      </x:c>
      <x:c r="I79" s="26" t="n">
        <x:f>H79*IF(F79=0,E79*$B$7,-E79*$B$8)</x:f>
        <x:v>0</x:v>
      </x:c>
    </x:row>
    <x:row r="80">
      <x:c r="A80" t="n">
        <x:v>1986</x:v>
      </x:c>
      <x:c r="B80" t="str">
        <x:v>2024-07</x:v>
      </x:c>
      <x:c r="C80" t="str">
        <x:v>Salaried</x:v>
      </x:c>
      <x:c r="D80" t="str">
        <x:v>Group B</x:v>
      </x:c>
      <x:c r="E80" s="26" t="n">
        <x:v>5265.25</x:v>
      </x:c>
      <x:c r="F80" t="n">
        <x:v>1</x:v>
      </x:c>
      <x:c r="G80" s="25" t="n">
        <x:v>0.353519</x:v>
      </x:c>
      <x:c r="H80" t="n">
        <x:f>IF(G80&lt;$B$6,1,0)</x:f>
        <x:v>0</x:v>
      </x:c>
      <x:c r="I80" s="26" t="n">
        <x:f>H80*IF(F80=0,E80*$B$7,-E80*$B$8)</x:f>
        <x:v>0</x:v>
      </x:c>
    </x:row>
    <x:row r="81">
      <x:c r="A81" t="n">
        <x:v>1993</x:v>
      </x:c>
      <x:c r="B81" t="str">
        <x:v>2024-07</x:v>
      </x:c>
      <x:c r="C81" t="str">
        <x:v>Contract</x:v>
      </x:c>
      <x:c r="D81" t="str">
        <x:v>Group A</x:v>
      </x:c>
      <x:c r="E81" s="26" t="n">
        <x:v>12617.78</x:v>
      </x:c>
      <x:c r="F81" t="n">
        <x:v>0</x:v>
      </x:c>
      <x:c r="G81" s="25" t="n">
        <x:v>0.076908</x:v>
      </x:c>
      <x:c r="H81" t="n">
        <x:f>IF(G81&lt;$B$6,1,0)</x:f>
        <x:v>1</x:v>
      </x:c>
      <x:c r="I81" s="26" t="n">
        <x:f>H81*IF(F81=0,E81*$B$7,-E81*$B$8)</x:f>
        <x:v>1514.1336000000001</x:v>
      </x:c>
    </x:row>
    <x:row r="82">
      <x:c r="A82" t="n">
        <x:v>1994</x:v>
      </x:c>
      <x:c r="B82" t="str">
        <x:v>2024-07</x:v>
      </x:c>
      <x:c r="C82" t="str">
        <x:v>Salaried</x:v>
      </x:c>
      <x:c r="D82" t="str">
        <x:v>Group A</x:v>
      </x:c>
      <x:c r="E82" s="26" t="n">
        <x:v>11315.98</x:v>
      </x:c>
      <x:c r="F82" t="n">
        <x:v>0</x:v>
      </x:c>
      <x:c r="G82" s="25" t="n">
        <x:v>0.020595</x:v>
      </x:c>
      <x:c r="H82" t="n">
        <x:f>IF(G82&lt;$B$6,1,0)</x:f>
        <x:v>1</x:v>
      </x:c>
      <x:c r="I82" s="26" t="n">
        <x:f>H82*IF(F82=0,E82*$B$7,-E82*$B$8)</x:f>
        <x:v>1357.9176</x:v>
      </x:c>
    </x:row>
    <x:row r="83">
      <x:c r="A83" t="n">
        <x:v>2008</x:v>
      </x:c>
      <x:c r="B83" t="str">
        <x:v>2024-07</x:v>
      </x:c>
      <x:c r="C83" t="str">
        <x:v>Salaried</x:v>
      </x:c>
      <x:c r="D83" t="str">
        <x:v>Group A</x:v>
      </x:c>
      <x:c r="E83" s="26" t="n">
        <x:v>12812.47</x:v>
      </x:c>
      <x:c r="F83" t="n">
        <x:v>0</x:v>
      </x:c>
      <x:c r="G83" s="25" t="n">
        <x:v>0.217029</x:v>
      </x:c>
      <x:c r="H83" t="n">
        <x:f>IF(G83&lt;$B$6,1,0)</x:f>
        <x:v>0</x:v>
      </x:c>
      <x:c r="I83" s="26" t="n">
        <x:f>H83*IF(F83=0,E83*$B$7,-E83*$B$8)</x:f>
        <x:v>0</x:v>
      </x:c>
    </x:row>
    <x:row r="84">
      <x:c r="A84" t="n">
        <x:v>2023</x:v>
      </x:c>
      <x:c r="B84" t="str">
        <x:v>2024-07</x:v>
      </x:c>
      <x:c r="C84" t="str">
        <x:v>Self employed</x:v>
      </x:c>
      <x:c r="D84" t="str">
        <x:v>Group A</x:v>
      </x:c>
      <x:c r="E84" s="26" t="n">
        <x:v>12279.8</x:v>
      </x:c>
      <x:c r="F84" t="n">
        <x:v>0</x:v>
      </x:c>
      <x:c r="G84" s="25" t="n">
        <x:v>0.158627</x:v>
      </x:c>
      <x:c r="H84" t="n">
        <x:f>IF(G84&lt;$B$6,1,0)</x:f>
        <x:v>1</x:v>
      </x:c>
      <x:c r="I84" s="26" t="n">
        <x:f>H84*IF(F84=0,E84*$B$7,-E84*$B$8)</x:f>
        <x:v>1473.5759999999998</x:v>
      </x:c>
    </x:row>
    <x:row r="85">
      <x:c r="A85" t="n">
        <x:v>2036</x:v>
      </x:c>
      <x:c r="B85" t="str">
        <x:v>2024-07</x:v>
      </x:c>
      <x:c r="C85" t="str">
        <x:v>Contract</x:v>
      </x:c>
      <x:c r="D85" t="str">
        <x:v>Group B</x:v>
      </x:c>
      <x:c r="E85" s="26" t="n">
        <x:v>24844.67</x:v>
      </x:c>
      <x:c r="F85" t="n">
        <x:v>1</x:v>
      </x:c>
      <x:c r="G85" s="25" t="n">
        <x:v>0.478736</x:v>
      </x:c>
      <x:c r="H85" t="n">
        <x:f>IF(G85&lt;$B$6,1,0)</x:f>
        <x:v>0</x:v>
      </x:c>
      <x:c r="I85" s="26" t="n">
        <x:f>H85*IF(F85=0,E85*$B$7,-E85*$B$8)</x:f>
        <x:v>0</x:v>
      </x:c>
    </x:row>
    <x:row r="86">
      <x:c r="A86" t="n">
        <x:v>2082</x:v>
      </x:c>
      <x:c r="B86" t="str">
        <x:v>2024-07</x:v>
      </x:c>
      <x:c r="C86" t="str">
        <x:v>Salaried</x:v>
      </x:c>
      <x:c r="D86" t="str">
        <x:v>Group A</x:v>
      </x:c>
      <x:c r="E86" s="26" t="n">
        <x:v>25429.28</x:v>
      </x:c>
      <x:c r="F86" t="n">
        <x:v>1</x:v>
      </x:c>
      <x:c r="G86" s="25" t="n">
        <x:v>0.280879</x:v>
      </x:c>
      <x:c r="H86" t="n">
        <x:f>IF(G86&lt;$B$6,1,0)</x:f>
        <x:v>0</x:v>
      </x:c>
      <x:c r="I86" s="26" t="n">
        <x:f>H86*IF(F86=0,E86*$B$7,-E86*$B$8)</x:f>
        <x:v>0</x:v>
      </x:c>
    </x:row>
    <x:row r="87">
      <x:c r="A87" t="n">
        <x:v>2111</x:v>
      </x:c>
      <x:c r="B87" t="str">
        <x:v>2024-07</x:v>
      </x:c>
      <x:c r="C87" t="str">
        <x:v>Contract</x:v>
      </x:c>
      <x:c r="D87" t="str">
        <x:v>Group B</x:v>
      </x:c>
      <x:c r="E87" s="26" t="n">
        <x:v>20401.59</x:v>
      </x:c>
      <x:c r="F87" t="n">
        <x:v>0</x:v>
      </x:c>
      <x:c r="G87" s="25" t="n">
        <x:v>0.316441</x:v>
      </x:c>
      <x:c r="H87" t="n">
        <x:f>IF(G87&lt;$B$6,1,0)</x:f>
        <x:v>0</x:v>
      </x:c>
      <x:c r="I87" s="26" t="n">
        <x:f>H87*IF(F87=0,E87*$B$7,-E87*$B$8)</x:f>
        <x:v>0</x:v>
      </x:c>
    </x:row>
    <x:row r="88">
      <x:c r="A88" t="n">
        <x:v>2150</x:v>
      </x:c>
      <x:c r="B88" t="str">
        <x:v>2024-07</x:v>
      </x:c>
      <x:c r="C88" t="str">
        <x:v>Contract</x:v>
      </x:c>
      <x:c r="D88" t="str">
        <x:v>Group A</x:v>
      </x:c>
      <x:c r="E88" s="26" t="n">
        <x:v>7532.96</x:v>
      </x:c>
      <x:c r="F88" t="n">
        <x:v>0</x:v>
      </x:c>
      <x:c r="G88" s="25" t="n">
        <x:v>0.144805</x:v>
      </x:c>
      <x:c r="H88" t="n">
        <x:f>IF(G88&lt;$B$6,1,0)</x:f>
        <x:v>1</x:v>
      </x:c>
      <x:c r="I88" s="26" t="n">
        <x:f>H88*IF(F88=0,E88*$B$7,-E88*$B$8)</x:f>
        <x:v>903.9552</x:v>
      </x:c>
    </x:row>
    <x:row r="89">
      <x:c r="A89" t="n">
        <x:v>2156</x:v>
      </x:c>
      <x:c r="B89" t="str">
        <x:v>2024-07</x:v>
      </x:c>
      <x:c r="C89" t="str">
        <x:v>Salaried</x:v>
      </x:c>
      <x:c r="D89" t="str">
        <x:v>Group A</x:v>
      </x:c>
      <x:c r="E89" s="26" t="n">
        <x:v>7508.79</x:v>
      </x:c>
      <x:c r="F89" t="n">
        <x:v>0</x:v>
      </x:c>
      <x:c r="G89" s="25" t="n">
        <x:v>0.12998</x:v>
      </x:c>
      <x:c r="H89" t="n">
        <x:f>IF(G89&lt;$B$6,1,0)</x:f>
        <x:v>1</x:v>
      </x:c>
      <x:c r="I89" s="26" t="n">
        <x:f>H89*IF(F89=0,E89*$B$7,-E89*$B$8)</x:f>
        <x:v>901.0548</x:v>
      </x:c>
    </x:row>
    <x:row r="90">
      <x:c r="A90" t="n">
        <x:v>2172</x:v>
      </x:c>
      <x:c r="B90" t="str">
        <x:v>2024-07</x:v>
      </x:c>
      <x:c r="C90" t="str">
        <x:v>Salaried</x:v>
      </x:c>
      <x:c r="D90" t="str">
        <x:v>Group B</x:v>
      </x:c>
      <x:c r="E90" s="26" t="n">
        <x:v>9979.23</x:v>
      </x:c>
      <x:c r="F90" t="n">
        <x:v>1</x:v>
      </x:c>
      <x:c r="G90" s="25" t="n">
        <x:v>0.623991</x:v>
      </x:c>
      <x:c r="H90" t="n">
        <x:f>IF(G90&lt;$B$6,1,0)</x:f>
        <x:v>0</x:v>
      </x:c>
      <x:c r="I90" s="26" t="n">
        <x:f>H90*IF(F90=0,E90*$B$7,-E90*$B$8)</x:f>
        <x:v>0</x:v>
      </x:c>
    </x:row>
    <x:row r="91">
      <x:c r="A91" t="n">
        <x:v>2174</x:v>
      </x:c>
      <x:c r="B91" t="str">
        <x:v>2024-07</x:v>
      </x:c>
      <x:c r="C91" t="str">
        <x:v>Self employed</x:v>
      </x:c>
      <x:c r="D91" t="str">
        <x:v>Group B</x:v>
      </x:c>
      <x:c r="E91" s="26" t="n">
        <x:v>7308.4</x:v>
      </x:c>
      <x:c r="F91" t="n">
        <x:v>0</x:v>
      </x:c>
      <x:c r="G91" s="25" t="n">
        <x:v>0.198377</x:v>
      </x:c>
      <x:c r="H91" t="n">
        <x:f>IF(G91&lt;$B$6,1,0)</x:f>
        <x:v>0</x:v>
      </x:c>
      <x:c r="I91" s="26" t="n">
        <x:f>H91*IF(F91=0,E91*$B$7,-E91*$B$8)</x:f>
        <x:v>0</x:v>
      </x:c>
    </x:row>
    <x:row r="92">
      <x:c r="A92" t="n">
        <x:v>2183</x:v>
      </x:c>
      <x:c r="B92" t="str">
        <x:v>2024-07</x:v>
      </x:c>
      <x:c r="C92" t="str">
        <x:v>Salaried</x:v>
      </x:c>
      <x:c r="D92" t="str">
        <x:v>Group B</x:v>
      </x:c>
      <x:c r="E92" s="26" t="n">
        <x:v>15887.22</x:v>
      </x:c>
      <x:c r="F92" t="n">
        <x:v>0</x:v>
      </x:c>
      <x:c r="G92" s="25" t="n">
        <x:v>0.285733</x:v>
      </x:c>
      <x:c r="H92" t="n">
        <x:f>IF(G92&lt;$B$6,1,0)</x:f>
        <x:v>0</x:v>
      </x:c>
      <x:c r="I92" s="26" t="n">
        <x:f>H92*IF(F92=0,E92*$B$7,-E92*$B$8)</x:f>
        <x:v>0</x:v>
      </x:c>
    </x:row>
    <x:row r="93">
      <x:c r="A93" t="n">
        <x:v>2193</x:v>
      </x:c>
      <x:c r="B93" t="str">
        <x:v>2024-07</x:v>
      </x:c>
      <x:c r="C93" t="str">
        <x:v>Salaried</x:v>
      </x:c>
      <x:c r="D93" t="str">
        <x:v>Group B</x:v>
      </x:c>
      <x:c r="E93" s="26" t="n">
        <x:v>8960.94</x:v>
      </x:c>
      <x:c r="F93" t="n">
        <x:v>1</x:v>
      </x:c>
      <x:c r="G93" s="25" t="n">
        <x:v>0.280667</x:v>
      </x:c>
      <x:c r="H93" t="n">
        <x:f>IF(G93&lt;$B$6,1,0)</x:f>
        <x:v>0</x:v>
      </x:c>
      <x:c r="I93" s="26" t="n">
        <x:f>H93*IF(F93=0,E93*$B$7,-E93*$B$8)</x:f>
        <x:v>0</x:v>
      </x:c>
    </x:row>
    <x:row r="94">
      <x:c r="A94" t="n">
        <x:v>2201</x:v>
      </x:c>
      <x:c r="B94" t="str">
        <x:v>2024-07</x:v>
      </x:c>
      <x:c r="C94" t="str">
        <x:v>Self employed</x:v>
      </x:c>
      <x:c r="D94" t="str">
        <x:v>Group B</x:v>
      </x:c>
      <x:c r="E94" s="26" t="n">
        <x:v>4788.25</x:v>
      </x:c>
      <x:c r="F94" t="n">
        <x:v>0</x:v>
      </x:c>
      <x:c r="G94" s="25" t="n">
        <x:v>0.091566</x:v>
      </x:c>
      <x:c r="H94" t="n">
        <x:f>IF(G94&lt;$B$6,1,0)</x:f>
        <x:v>1</x:v>
      </x:c>
      <x:c r="I94" s="26" t="n">
        <x:f>H94*IF(F94=0,E94*$B$7,-E94*$B$8)</x:f>
        <x:v>574.59</x:v>
      </x:c>
    </x:row>
    <x:row r="95">
      <x:c r="A95" t="n">
        <x:v>2247</x:v>
      </x:c>
      <x:c r="B95" t="str">
        <x:v>2024-07</x:v>
      </x:c>
      <x:c r="C95" t="str">
        <x:v>Salaried</x:v>
      </x:c>
      <x:c r="D95" t="str">
        <x:v>Group A</x:v>
      </x:c>
      <x:c r="E95" s="26" t="n">
        <x:v>25931.03</x:v>
      </x:c>
      <x:c r="F95" t="n">
        <x:v>0</x:v>
      </x:c>
      <x:c r="G95" s="25" t="n">
        <x:v>0.047635</x:v>
      </x:c>
      <x:c r="H95" t="n">
        <x:f>IF(G95&lt;$B$6,1,0)</x:f>
        <x:v>1</x:v>
      </x:c>
      <x:c r="I95" s="26" t="n">
        <x:f>H95*IF(F95=0,E95*$B$7,-E95*$B$8)</x:f>
        <x:v>3111.7236</x:v>
      </x:c>
    </x:row>
    <x:row r="96">
      <x:c r="A96" t="n">
        <x:v>2280</x:v>
      </x:c>
      <x:c r="B96" t="str">
        <x:v>2024-07</x:v>
      </x:c>
      <x:c r="C96" t="str">
        <x:v>Salaried</x:v>
      </x:c>
      <x:c r="D96" t="str">
        <x:v>Group A</x:v>
      </x:c>
      <x:c r="E96" s="26" t="n">
        <x:v>5546</x:v>
      </x:c>
      <x:c r="F96" t="n">
        <x:v>0</x:v>
      </x:c>
      <x:c r="G96" s="25" t="n">
        <x:v>0.078692</x:v>
      </x:c>
      <x:c r="H96" t="n">
        <x:f>IF(G96&lt;$B$6,1,0)</x:f>
        <x:v>1</x:v>
      </x:c>
      <x:c r="I96" s="26" t="n">
        <x:f>H96*IF(F96=0,E96*$B$7,-E96*$B$8)</x:f>
        <x:v>665.52</x:v>
      </x:c>
    </x:row>
    <x:row r="97">
      <x:c r="A97" t="n">
        <x:v>2314</x:v>
      </x:c>
      <x:c r="B97" t="str">
        <x:v>2024-07</x:v>
      </x:c>
      <x:c r="C97" t="str">
        <x:v>Salaried</x:v>
      </x:c>
      <x:c r="D97" t="str">
        <x:v>Group B</x:v>
      </x:c>
      <x:c r="E97" s="26" t="n">
        <x:v>23188.19</x:v>
      </x:c>
      <x:c r="F97" t="n">
        <x:v>0</x:v>
      </x:c>
      <x:c r="G97" s="25" t="n">
        <x:v>0.11682</x:v>
      </x:c>
      <x:c r="H97" t="n">
        <x:f>IF(G97&lt;$B$6,1,0)</x:f>
        <x:v>1</x:v>
      </x:c>
      <x:c r="I97" s="26" t="n">
        <x:f>H97*IF(F97=0,E97*$B$7,-E97*$B$8)</x:f>
        <x:v>2782.5827999999997</x:v>
      </x:c>
    </x:row>
    <x:row r="98">
      <x:c r="A98" t="n">
        <x:v>2329</x:v>
      </x:c>
      <x:c r="B98" t="str">
        <x:v>2024-07</x:v>
      </x:c>
      <x:c r="C98" t="str">
        <x:v>Salaried</x:v>
      </x:c>
      <x:c r="D98" t="str">
        <x:v>Group A</x:v>
      </x:c>
      <x:c r="E98" s="26" t="n">
        <x:v>28536.97</x:v>
      </x:c>
      <x:c r="F98" t="n">
        <x:v>0</x:v>
      </x:c>
      <x:c r="G98" s="25" t="n">
        <x:v>0.309349</x:v>
      </x:c>
      <x:c r="H98" t="n">
        <x:f>IF(G98&lt;$B$6,1,0)</x:f>
        <x:v>0</x:v>
      </x:c>
      <x:c r="I98" s="26" t="n">
        <x:f>H98*IF(F98=0,E98*$B$7,-E98*$B$8)</x:f>
        <x:v>0</x:v>
      </x:c>
    </x:row>
    <x:row r="99">
      <x:c r="A99" t="n">
        <x:v>2336</x:v>
      </x:c>
      <x:c r="B99" t="str">
        <x:v>2024-07</x:v>
      </x:c>
      <x:c r="C99" t="str">
        <x:v>Salaried</x:v>
      </x:c>
      <x:c r="D99" t="str">
        <x:v>Group A</x:v>
      </x:c>
      <x:c r="E99" s="26" t="n">
        <x:v>8498.65</x:v>
      </x:c>
      <x:c r="F99" t="n">
        <x:v>0</x:v>
      </x:c>
      <x:c r="G99" s="25" t="n">
        <x:v>0.181498</x:v>
      </x:c>
      <x:c r="H99" t="n">
        <x:f>IF(G99&lt;$B$6,1,0)</x:f>
        <x:v>0</x:v>
      </x:c>
      <x:c r="I99" s="26" t="n">
        <x:f>H99*IF(F99=0,E99*$B$7,-E99*$B$8)</x:f>
        <x:v>0</x:v>
      </x:c>
    </x:row>
    <x:row r="100">
      <x:c r="A100" t="n">
        <x:v>2345</x:v>
      </x:c>
      <x:c r="B100" t="str">
        <x:v>2024-07</x:v>
      </x:c>
      <x:c r="C100" t="str">
        <x:v>Self employed</x:v>
      </x:c>
      <x:c r="D100" t="str">
        <x:v>Group B</x:v>
      </x:c>
      <x:c r="E100" s="26" t="n">
        <x:v>18301.15</x:v>
      </x:c>
      <x:c r="F100" t="n">
        <x:v>0</x:v>
      </x:c>
      <x:c r="G100" s="25" t="n">
        <x:v>0.427701</x:v>
      </x:c>
      <x:c r="H100" t="n">
        <x:f>IF(G100&lt;$B$6,1,0)</x:f>
        <x:v>0</x:v>
      </x:c>
      <x:c r="I100" s="26" t="n">
        <x:f>H100*IF(F100=0,E100*$B$7,-E100*$B$8)</x:f>
        <x:v>0</x:v>
      </x:c>
    </x:row>
    <x:row r="101">
      <x:c r="A101" t="n">
        <x:v>2401</x:v>
      </x:c>
      <x:c r="B101" t="str">
        <x:v>2024-07</x:v>
      </x:c>
      <x:c r="C101" t="str">
        <x:v>Salaried</x:v>
      </x:c>
      <x:c r="D101" t="str">
        <x:v>Group B</x:v>
      </x:c>
      <x:c r="E101" s="26" t="n">
        <x:v>6634.05</x:v>
      </x:c>
      <x:c r="F101" t="n">
        <x:v>1</x:v>
      </x:c>
      <x:c r="G101" s="25" t="n">
        <x:v>0.229088</x:v>
      </x:c>
      <x:c r="H101" t="n">
        <x:f>IF(G101&lt;$B$6,1,0)</x:f>
        <x:v>0</x:v>
      </x:c>
      <x:c r="I101" s="26" t="n">
        <x:f>H101*IF(F101=0,E101*$B$7,-E101*$B$8)</x:f>
        <x:v>0</x:v>
      </x:c>
    </x:row>
    <x:row r="102">
      <x:c r="A102" t="n">
        <x:v>2427</x:v>
      </x:c>
      <x:c r="B102" t="str">
        <x:v>2024-07</x:v>
      </x:c>
      <x:c r="C102" t="str">
        <x:v>Salaried</x:v>
      </x:c>
      <x:c r="D102" t="str">
        <x:v>Group B</x:v>
      </x:c>
      <x:c r="E102" s="26" t="n">
        <x:v>21664.73</x:v>
      </x:c>
      <x:c r="F102" t="n">
        <x:v>1</x:v>
      </x:c>
      <x:c r="G102" s="25" t="n">
        <x:v>0.256746</x:v>
      </x:c>
      <x:c r="H102" t="n">
        <x:f>IF(G102&lt;$B$6,1,0)</x:f>
        <x:v>0</x:v>
      </x:c>
      <x:c r="I102" s="26" t="n">
        <x:f>H102*IF(F102=0,E102*$B$7,-E102*$B$8)</x:f>
        <x:v>0</x:v>
      </x:c>
    </x:row>
    <x:row r="103">
      <x:c r="A103" t="n">
        <x:v>2437</x:v>
      </x:c>
      <x:c r="B103" t="str">
        <x:v>2024-07</x:v>
      </x:c>
      <x:c r="C103" t="str">
        <x:v>Salaried</x:v>
      </x:c>
      <x:c r="D103" t="str">
        <x:v>Group B</x:v>
      </x:c>
      <x:c r="E103" s="26" t="n">
        <x:v>3545.68</x:v>
      </x:c>
      <x:c r="F103" t="n">
        <x:v>0</x:v>
      </x:c>
      <x:c r="G103" s="25" t="n">
        <x:v>0.045706</x:v>
      </x:c>
      <x:c r="H103" t="n">
        <x:f>IF(G103&lt;$B$6,1,0)</x:f>
        <x:v>1</x:v>
      </x:c>
      <x:c r="I103" s="26" t="n">
        <x:f>H103*IF(F103=0,E103*$B$7,-E103*$B$8)</x:f>
        <x:v>425.48159999999996</x:v>
      </x:c>
    </x:row>
    <x:row r="104">
      <x:c r="A104" t="n">
        <x:v>2469</x:v>
      </x:c>
      <x:c r="B104" t="str">
        <x:v>2024-07</x:v>
      </x:c>
      <x:c r="C104" t="str">
        <x:v>Salaried</x:v>
      </x:c>
      <x:c r="D104" t="str">
        <x:v>Group B</x:v>
      </x:c>
      <x:c r="E104" s="26" t="n">
        <x:v>7341.94</x:v>
      </x:c>
      <x:c r="F104" t="n">
        <x:v>0</x:v>
      </x:c>
      <x:c r="G104" s="25" t="n">
        <x:v>0.070909</x:v>
      </x:c>
      <x:c r="H104" t="n">
        <x:f>IF(G104&lt;$B$6,1,0)</x:f>
        <x:v>1</x:v>
      </x:c>
      <x:c r="I104" s="26" t="n">
        <x:f>H104*IF(F104=0,E104*$B$7,-E104*$B$8)</x:f>
        <x:v>881.0328</x:v>
      </x:c>
    </x:row>
    <x:row r="105">
      <x:c r="A105" t="n">
        <x:v>2492</x:v>
      </x:c>
      <x:c r="B105" t="str">
        <x:v>2024-07</x:v>
      </x:c>
      <x:c r="C105" t="str">
        <x:v>Salaried</x:v>
      </x:c>
      <x:c r="D105" t="str">
        <x:v>Group A</x:v>
      </x:c>
      <x:c r="E105" s="26" t="n">
        <x:v>7598.66</x:v>
      </x:c>
      <x:c r="F105" t="n">
        <x:v>1</x:v>
      </x:c>
      <x:c r="G105" s="25" t="n">
        <x:v>0.315432</x:v>
      </x:c>
      <x:c r="H105" t="n">
        <x:f>IF(G105&lt;$B$6,1,0)</x:f>
        <x:v>0</x:v>
      </x:c>
      <x:c r="I105" s="26" t="n">
        <x:f>H105*IF(F105=0,E105*$B$7,-E105*$B$8)</x:f>
        <x:v>0</x:v>
      </x:c>
    </x:row>
    <x:row r="106">
      <x:c r="A106" t="n">
        <x:v>2495</x:v>
      </x:c>
      <x:c r="B106" t="str">
        <x:v>2024-07</x:v>
      </x:c>
      <x:c r="C106" t="str">
        <x:v>Self employed</x:v>
      </x:c>
      <x:c r="D106" t="str">
        <x:v>Group B</x:v>
      </x:c>
      <x:c r="E106" s="26" t="n">
        <x:v>10437.44</x:v>
      </x:c>
      <x:c r="F106" t="n">
        <x:v>0</x:v>
      </x:c>
      <x:c r="G106" s="25" t="n">
        <x:v>0.190145</x:v>
      </x:c>
      <x:c r="H106" t="n">
        <x:f>IF(G106&lt;$B$6,1,0)</x:f>
        <x:v>0</x:v>
      </x:c>
      <x:c r="I106" s="26" t="n">
        <x:f>H106*IF(F106=0,E106*$B$7,-E106*$B$8)</x:f>
        <x:v>0</x:v>
      </x:c>
    </x:row>
    <x:row r="107">
      <x:c r="A107" t="n">
        <x:v>2655</x:v>
      </x:c>
      <x:c r="B107" t="str">
        <x:v>2024-07</x:v>
      </x:c>
      <x:c r="C107" t="str">
        <x:v>Salaried</x:v>
      </x:c>
      <x:c r="D107" t="str">
        <x:v>Group A</x:v>
      </x:c>
      <x:c r="E107" s="26" t="n">
        <x:v>18338.49</x:v>
      </x:c>
      <x:c r="F107" t="n">
        <x:v>0</x:v>
      </x:c>
      <x:c r="G107" s="25" t="n">
        <x:v>0.02393</x:v>
      </x:c>
      <x:c r="H107" t="n">
        <x:f>IF(G107&lt;$B$6,1,0)</x:f>
        <x:v>1</x:v>
      </x:c>
      <x:c r="I107" s="26" t="n">
        <x:f>H107*IF(F107=0,E107*$B$7,-E107*$B$8)</x:f>
        <x:v>2200.6188</x:v>
      </x:c>
    </x:row>
    <x:row r="108">
      <x:c r="A108" t="n">
        <x:v>2656</x:v>
      </x:c>
      <x:c r="B108" t="str">
        <x:v>2024-07</x:v>
      </x:c>
      <x:c r="C108" t="str">
        <x:v>Salaried</x:v>
      </x:c>
      <x:c r="D108" t="str">
        <x:v>Group A</x:v>
      </x:c>
      <x:c r="E108" s="26" t="n">
        <x:v>27425.78</x:v>
      </x:c>
      <x:c r="F108" t="n">
        <x:v>0</x:v>
      </x:c>
      <x:c r="G108" s="25" t="n">
        <x:v>0.262392</x:v>
      </x:c>
      <x:c r="H108" t="n">
        <x:f>IF(G108&lt;$B$6,1,0)</x:f>
        <x:v>0</x:v>
      </x:c>
      <x:c r="I108" s="26" t="n">
        <x:f>H108*IF(F108=0,E108*$B$7,-E108*$B$8)</x:f>
        <x:v>0</x:v>
      </x:c>
    </x:row>
    <x:row r="109">
      <x:c r="A109" t="n">
        <x:v>2666</x:v>
      </x:c>
      <x:c r="B109" t="str">
        <x:v>2024-07</x:v>
      </x:c>
      <x:c r="C109" t="str">
        <x:v>Self employed</x:v>
      </x:c>
      <x:c r="D109" t="str">
        <x:v>Group A</x:v>
      </x:c>
      <x:c r="E109" s="26" t="n">
        <x:v>74609.47</x:v>
      </x:c>
      <x:c r="F109" t="n">
        <x:v>0</x:v>
      </x:c>
      <x:c r="G109" s="25" t="n">
        <x:v>0.301563</x:v>
      </x:c>
      <x:c r="H109" t="n">
        <x:f>IF(G109&lt;$B$6,1,0)</x:f>
        <x:v>0</x:v>
      </x:c>
      <x:c r="I109" s="26" t="n">
        <x:f>H109*IF(F109=0,E109*$B$7,-E109*$B$8)</x:f>
        <x:v>0</x:v>
      </x:c>
    </x:row>
    <x:row r="110">
      <x:c r="A110" t="n">
        <x:v>2673</x:v>
      </x:c>
      <x:c r="B110" t="str">
        <x:v>2024-07</x:v>
      </x:c>
      <x:c r="C110" t="str">
        <x:v>Salaried</x:v>
      </x:c>
      <x:c r="D110" t="str">
        <x:v>Group A</x:v>
      </x:c>
      <x:c r="E110" s="26" t="n">
        <x:v>21497.66</x:v>
      </x:c>
      <x:c r="F110" t="n">
        <x:v>0</x:v>
      </x:c>
      <x:c r="G110" s="25" t="n">
        <x:v>0.125756</x:v>
      </x:c>
      <x:c r="H110" t="n">
        <x:f>IF(G110&lt;$B$6,1,0)</x:f>
        <x:v>1</x:v>
      </x:c>
      <x:c r="I110" s="26" t="n">
        <x:f>H110*IF(F110=0,E110*$B$7,-E110*$B$8)</x:f>
        <x:v>2579.7192</x:v>
      </x:c>
    </x:row>
    <x:row r="111">
      <x:c r="A111" t="n">
        <x:v>2742</x:v>
      </x:c>
      <x:c r="B111" t="str">
        <x:v>2024-07</x:v>
      </x:c>
      <x:c r="C111" t="str">
        <x:v>Contract</x:v>
      </x:c>
      <x:c r="D111" t="str">
        <x:v>Group B</x:v>
      </x:c>
      <x:c r="E111" s="26" t="n">
        <x:v>31032.53</x:v>
      </x:c>
      <x:c r="F111" t="n">
        <x:v>0</x:v>
      </x:c>
      <x:c r="G111" s="25" t="n">
        <x:v>0.097652</x:v>
      </x:c>
      <x:c r="H111" t="n">
        <x:f>IF(G111&lt;$B$6,1,0)</x:f>
        <x:v>1</x:v>
      </x:c>
      <x:c r="I111" s="26" t="n">
        <x:f>H111*IF(F111=0,E111*$B$7,-E111*$B$8)</x:f>
        <x:v>3723.9035999999996</x:v>
      </x:c>
    </x:row>
    <x:row r="112">
      <x:c r="A112" t="n">
        <x:v>2794</x:v>
      </x:c>
      <x:c r="B112" t="str">
        <x:v>2024-07</x:v>
      </x:c>
      <x:c r="C112" t="str">
        <x:v>Salaried</x:v>
      </x:c>
      <x:c r="D112" t="str">
        <x:v>Group A</x:v>
      </x:c>
      <x:c r="E112" s="26" t="n">
        <x:v>30380.48</x:v>
      </x:c>
      <x:c r="F112" t="n">
        <x:v>1</x:v>
      </x:c>
      <x:c r="G112" s="25" t="n">
        <x:v>0.183061</x:v>
      </x:c>
      <x:c r="H112" t="n">
        <x:f>IF(G112&lt;$B$6,1,0)</x:f>
        <x:v>0</x:v>
      </x:c>
      <x:c r="I112" s="26" t="n">
        <x:f>H112*IF(F112=0,E112*$B$7,-E112*$B$8)</x:f>
        <x:v>0</x:v>
      </x:c>
    </x:row>
    <x:row r="113">
      <x:c r="A113" t="n">
        <x:v>2850</x:v>
      </x:c>
      <x:c r="B113" t="str">
        <x:v>2024-07</x:v>
      </x:c>
      <x:c r="C113" t="str">
        <x:v>Salaried</x:v>
      </x:c>
      <x:c r="D113" t="str">
        <x:v>Group B</x:v>
      </x:c>
      <x:c r="E113" s="26" t="n">
        <x:v>27167.62</x:v>
      </x:c>
      <x:c r="F113" t="n">
        <x:v>0</x:v>
      </x:c>
      <x:c r="G113" s="25" t="n">
        <x:v>0.181763</x:v>
      </x:c>
      <x:c r="H113" t="n">
        <x:f>IF(G113&lt;$B$6,1,0)</x:f>
        <x:v>0</x:v>
      </x:c>
      <x:c r="I113" s="26" t="n">
        <x:f>H113*IF(F113=0,E113*$B$7,-E113*$B$8)</x:f>
        <x:v>0</x:v>
      </x:c>
    </x:row>
    <x:row r="114">
      <x:c r="A114" t="n">
        <x:v>2969</x:v>
      </x:c>
      <x:c r="B114" t="str">
        <x:v>2024-07</x:v>
      </x:c>
      <x:c r="C114" t="str">
        <x:v>Salaried</x:v>
      </x:c>
      <x:c r="D114" t="str">
        <x:v>Group A</x:v>
      </x:c>
      <x:c r="E114" s="26" t="n">
        <x:v>44904.48</x:v>
      </x:c>
      <x:c r="F114" t="n">
        <x:v>1</x:v>
      </x:c>
      <x:c r="G114" s="25" t="n">
        <x:v>0.495534</x:v>
      </x:c>
      <x:c r="H114" t="n">
        <x:f>IF(G114&lt;$B$6,1,0)</x:f>
        <x:v>0</x:v>
      </x:c>
      <x:c r="I114" s="26" t="n">
        <x:f>H114*IF(F114=0,E114*$B$7,-E114*$B$8)</x:f>
        <x:v>0</x:v>
      </x:c>
    </x:row>
    <x:row r="115">
      <x:c r="A115" t="n">
        <x:v>3038</x:v>
      </x:c>
      <x:c r="B115" t="str">
        <x:v>2024-07</x:v>
      </x:c>
      <x:c r="C115" t="str">
        <x:v>Salaried</x:v>
      </x:c>
      <x:c r="D115" t="str">
        <x:v>Group A</x:v>
      </x:c>
      <x:c r="E115" s="26" t="n">
        <x:v>3917.49</x:v>
      </x:c>
      <x:c r="F115" t="n">
        <x:v>0</x:v>
      </x:c>
      <x:c r="G115" s="25" t="n">
        <x:v>0.103885</x:v>
      </x:c>
      <x:c r="H115" t="n">
        <x:f>IF(G115&lt;$B$6,1,0)</x:f>
        <x:v>1</x:v>
      </x:c>
      <x:c r="I115" s="26" t="n">
        <x:f>H115*IF(F115=0,E115*$B$7,-E115*$B$8)</x:f>
        <x:v>470.0988</x:v>
      </x:c>
    </x:row>
    <x:row r="116">
      <x:c r="A116" t="n">
        <x:v>3042</x:v>
      </x:c>
      <x:c r="B116" t="str">
        <x:v>2024-07</x:v>
      </x:c>
      <x:c r="C116" t="str">
        <x:v>Salaried</x:v>
      </x:c>
      <x:c r="D116" t="str">
        <x:v>Group B</x:v>
      </x:c>
      <x:c r="E116" s="26" t="n">
        <x:v>66266.83</x:v>
      </x:c>
      <x:c r="F116" t="n">
        <x:v>0</x:v>
      </x:c>
      <x:c r="G116" s="25" t="n">
        <x:v>0.197891</x:v>
      </x:c>
      <x:c r="H116" t="n">
        <x:f>IF(G116&lt;$B$6,1,0)</x:f>
        <x:v>0</x:v>
      </x:c>
      <x:c r="I116" s="26" t="n">
        <x:f>H116*IF(F116=0,E116*$B$7,-E116*$B$8)</x:f>
        <x:v>0</x:v>
      </x:c>
    </x:row>
    <x:row r="117">
      <x:c r="A117" t="n">
        <x:v>3043</x:v>
      </x:c>
      <x:c r="B117" t="str">
        <x:v>2024-07</x:v>
      </x:c>
      <x:c r="C117" t="str">
        <x:v>Salaried</x:v>
      </x:c>
      <x:c r="D117" t="str">
        <x:v>Group A</x:v>
      </x:c>
      <x:c r="E117" s="26" t="n">
        <x:v>15455.38</x:v>
      </x:c>
      <x:c r="F117" t="n">
        <x:v>1</x:v>
      </x:c>
      <x:c r="G117" s="25" t="n">
        <x:v>0.185287</x:v>
      </x:c>
      <x:c r="H117" t="n">
        <x:f>IF(G117&lt;$B$6,1,0)</x:f>
        <x:v>0</x:v>
      </x:c>
      <x:c r="I117" s="26" t="n">
        <x:f>H117*IF(F117=0,E117*$B$7,-E117*$B$8)</x:f>
        <x:v>0</x:v>
      </x:c>
    </x:row>
    <x:row r="118">
      <x:c r="A118" t="n">
        <x:v>3050</x:v>
      </x:c>
      <x:c r="B118" t="str">
        <x:v>2024-07</x:v>
      </x:c>
      <x:c r="C118" t="str">
        <x:v>Self employed</x:v>
      </x:c>
      <x:c r="D118" t="str">
        <x:v>Group B</x:v>
      </x:c>
      <x:c r="E118" s="26" t="n">
        <x:v>10292.22</x:v>
      </x:c>
      <x:c r="F118" t="n">
        <x:v>0</x:v>
      </x:c>
      <x:c r="G118" s="25" t="n">
        <x:v>0.045002</x:v>
      </x:c>
      <x:c r="H118" t="n">
        <x:f>IF(G118&lt;$B$6,1,0)</x:f>
        <x:v>1</x:v>
      </x:c>
      <x:c r="I118" s="26" t="n">
        <x:f>H118*IF(F118=0,E118*$B$7,-E118*$B$8)</x:f>
        <x:v>1235.0664</x:v>
      </x:c>
    </x:row>
    <x:row r="119">
      <x:c r="A119" t="n">
        <x:v>3095</x:v>
      </x:c>
      <x:c r="B119" t="str">
        <x:v>2024-07</x:v>
      </x:c>
      <x:c r="C119" t="str">
        <x:v>Self employed</x:v>
      </x:c>
      <x:c r="D119" t="str">
        <x:v>Group A</x:v>
      </x:c>
      <x:c r="E119" s="26" t="n">
        <x:v>5307.03</x:v>
      </x:c>
      <x:c r="F119" t="n">
        <x:v>1</x:v>
      </x:c>
      <x:c r="G119" s="25" t="n">
        <x:v>0.508604</x:v>
      </x:c>
      <x:c r="H119" t="n">
        <x:f>IF(G119&lt;$B$6,1,0)</x:f>
        <x:v>0</x:v>
      </x:c>
      <x:c r="I119" s="26" t="n">
        <x:f>H119*IF(F119=0,E119*$B$7,-E119*$B$8)</x:f>
        <x:v>0</x:v>
      </x:c>
    </x:row>
    <x:row r="120">
      <x:c r="A120" t="n">
        <x:v>3132</x:v>
      </x:c>
      <x:c r="B120" t="str">
        <x:v>2024-07</x:v>
      </x:c>
      <x:c r="C120" t="str">
        <x:v>Contract</x:v>
      </x:c>
      <x:c r="D120" t="str">
        <x:v>Group A</x:v>
      </x:c>
      <x:c r="E120" s="26" t="n">
        <x:v>6125.25</x:v>
      </x:c>
      <x:c r="F120" t="n">
        <x:v>0</x:v>
      </x:c>
      <x:c r="G120" s="25" t="n">
        <x:v>0.207276</x:v>
      </x:c>
      <x:c r="H120" t="n">
        <x:f>IF(G120&lt;$B$6,1,0)</x:f>
        <x:v>0</x:v>
      </x:c>
      <x:c r="I120" s="26" t="n">
        <x:f>H120*IF(F120=0,E120*$B$7,-E120*$B$8)</x:f>
        <x:v>0</x:v>
      </x:c>
    </x:row>
    <x:row r="121">
      <x:c r="A121" t="n">
        <x:v>3170</x:v>
      </x:c>
      <x:c r="B121" t="str">
        <x:v>2024-07</x:v>
      </x:c>
      <x:c r="C121" t="str">
        <x:v>Contract</x:v>
      </x:c>
      <x:c r="D121" t="str">
        <x:v>Group B</x:v>
      </x:c>
      <x:c r="E121" s="26" t="n">
        <x:v>37760.33</x:v>
      </x:c>
      <x:c r="F121" t="n">
        <x:v>0</x:v>
      </x:c>
      <x:c r="G121" s="25" t="n">
        <x:v>0.658953</x:v>
      </x:c>
      <x:c r="H121" t="n">
        <x:f>IF(G121&lt;$B$6,1,0)</x:f>
        <x:v>0</x:v>
      </x:c>
      <x:c r="I121" s="26" t="n">
        <x:f>H121*IF(F121=0,E121*$B$7,-E121*$B$8)</x:f>
        <x:v>0</x:v>
      </x:c>
    </x:row>
    <x:row r="122">
      <x:c r="A122" t="n">
        <x:v>3182</x:v>
      </x:c>
      <x:c r="B122" t="str">
        <x:v>2024-07</x:v>
      </x:c>
      <x:c r="C122" t="str">
        <x:v>Salaried</x:v>
      </x:c>
      <x:c r="D122" t="str">
        <x:v>Group B</x:v>
      </x:c>
      <x:c r="E122" s="26" t="n">
        <x:v>49405.5</x:v>
      </x:c>
      <x:c r="F122" t="n">
        <x:v>1</x:v>
      </x:c>
      <x:c r="G122" s="25" t="n">
        <x:v>0.61388</x:v>
      </x:c>
      <x:c r="H122" t="n">
        <x:f>IF(G122&lt;$B$6,1,0)</x:f>
        <x:v>0</x:v>
      </x:c>
      <x:c r="I122" s="26" t="n">
        <x:f>H122*IF(F122=0,E122*$B$7,-E122*$B$8)</x:f>
        <x:v>0</x:v>
      </x:c>
    </x:row>
    <x:row r="123">
      <x:c r="A123" t="n">
        <x:v>3189</x:v>
      </x:c>
      <x:c r="B123" t="str">
        <x:v>2024-07</x:v>
      </x:c>
      <x:c r="C123" t="str">
        <x:v>Salaried</x:v>
      </x:c>
      <x:c r="D123" t="str">
        <x:v>Group A</x:v>
      </x:c>
      <x:c r="E123" s="26" t="n">
        <x:v>6262.84</x:v>
      </x:c>
      <x:c r="F123" t="n">
        <x:v>0</x:v>
      </x:c>
      <x:c r="G123" s="25" t="n">
        <x:v>0.470866</x:v>
      </x:c>
      <x:c r="H123" t="n">
        <x:f>IF(G123&lt;$B$6,1,0)</x:f>
        <x:v>0</x:v>
      </x:c>
      <x:c r="I123" s="26" t="n">
        <x:f>H123*IF(F123=0,E123*$B$7,-E123*$B$8)</x:f>
        <x:v>0</x:v>
      </x:c>
    </x:row>
    <x:row r="124">
      <x:c r="A124" t="n">
        <x:v>3211</x:v>
      </x:c>
      <x:c r="B124" t="str">
        <x:v>2024-07</x:v>
      </x:c>
      <x:c r="C124" t="str">
        <x:v>Salaried</x:v>
      </x:c>
      <x:c r="D124" t="str">
        <x:v>Group A</x:v>
      </x:c>
      <x:c r="E124" s="26" t="n">
        <x:v>25521.78</x:v>
      </x:c>
      <x:c r="F124" t="n">
        <x:v>0</x:v>
      </x:c>
      <x:c r="G124" s="25" t="n">
        <x:v>0.336019</x:v>
      </x:c>
      <x:c r="H124" t="n">
        <x:f>IF(G124&lt;$B$6,1,0)</x:f>
        <x:v>0</x:v>
      </x:c>
      <x:c r="I124" s="26" t="n">
        <x:f>H124*IF(F124=0,E124*$B$7,-E124*$B$8)</x:f>
        <x:v>0</x:v>
      </x:c>
    </x:row>
    <x:row r="125">
      <x:c r="A125" t="n">
        <x:v>3250</x:v>
      </x:c>
      <x:c r="B125" t="str">
        <x:v>2024-07</x:v>
      </x:c>
      <x:c r="C125" t="str">
        <x:v>Self employed</x:v>
      </x:c>
      <x:c r="D125" t="str">
        <x:v>Group A</x:v>
      </x:c>
      <x:c r="E125" s="26" t="n">
        <x:v>34354.52</x:v>
      </x:c>
      <x:c r="F125" t="n">
        <x:v>1</x:v>
      </x:c>
      <x:c r="G125" s="25" t="n">
        <x:v>0.346367</x:v>
      </x:c>
      <x:c r="H125" t="n">
        <x:f>IF(G125&lt;$B$6,1,0)</x:f>
        <x:v>0</x:v>
      </x:c>
      <x:c r="I125" s="26" t="n">
        <x:f>H125*IF(F125=0,E125*$B$7,-E125*$B$8)</x:f>
        <x:v>0</x:v>
      </x:c>
    </x:row>
    <x:row r="126">
      <x:c r="A126" t="n">
        <x:v>3272</x:v>
      </x:c>
      <x:c r="B126" t="str">
        <x:v>2024-07</x:v>
      </x:c>
      <x:c r="C126" t="str">
        <x:v>Salaried</x:v>
      </x:c>
      <x:c r="D126" t="str">
        <x:v>Group B</x:v>
      </x:c>
      <x:c r="E126" s="26" t="n">
        <x:v>6552.68</x:v>
      </x:c>
      <x:c r="F126" t="n">
        <x:v>0</x:v>
      </x:c>
      <x:c r="G126" s="25" t="n">
        <x:v>0.179058</x:v>
      </x:c>
      <x:c r="H126" t="n">
        <x:f>IF(G126&lt;$B$6,1,0)</x:f>
        <x:v>0</x:v>
      </x:c>
      <x:c r="I126" s="26" t="n">
        <x:f>H126*IF(F126=0,E126*$B$7,-E126*$B$8)</x:f>
        <x:v>0</x:v>
      </x:c>
    </x:row>
    <x:row r="127">
      <x:c r="A127" t="n">
        <x:v>3322</x:v>
      </x:c>
      <x:c r="B127" t="str">
        <x:v>2024-07</x:v>
      </x:c>
      <x:c r="C127" t="str">
        <x:v>Salaried</x:v>
      </x:c>
      <x:c r="D127" t="str">
        <x:v>Group A</x:v>
      </x:c>
      <x:c r="E127" s="26" t="n">
        <x:v>19332.24</x:v>
      </x:c>
      <x:c r="F127" t="n">
        <x:v>0</x:v>
      </x:c>
      <x:c r="G127" s="25" t="n">
        <x:v>0.143303</x:v>
      </x:c>
      <x:c r="H127" t="n">
        <x:f>IF(G127&lt;$B$6,1,0)</x:f>
        <x:v>1</x:v>
      </x:c>
      <x:c r="I127" s="26" t="n">
        <x:f>H127*IF(F127=0,E127*$B$7,-E127*$B$8)</x:f>
        <x:v>2319.8688</x:v>
      </x:c>
    </x:row>
    <x:row r="128">
      <x:c r="A128" t="n">
        <x:v>3372</x:v>
      </x:c>
      <x:c r="B128" t="str">
        <x:v>2024-07</x:v>
      </x:c>
      <x:c r="C128" t="str">
        <x:v>Salaried</x:v>
      </x:c>
      <x:c r="D128" t="str">
        <x:v>Group A</x:v>
      </x:c>
      <x:c r="E128" s="26" t="n">
        <x:v>13641.72</x:v>
      </x:c>
      <x:c r="F128" t="n">
        <x:v>0</x:v>
      </x:c>
      <x:c r="G128" s="25" t="n">
        <x:v>0.170566</x:v>
      </x:c>
      <x:c r="H128" t="n">
        <x:f>IF(G128&lt;$B$6,1,0)</x:f>
        <x:v>0</x:v>
      </x:c>
      <x:c r="I128" s="26" t="n">
        <x:f>H128*IF(F128=0,E128*$B$7,-E128*$B$8)</x:f>
        <x:v>0</x:v>
      </x:c>
    </x:row>
    <x:row r="129">
      <x:c r="A129" t="n">
        <x:v>3412</x:v>
      </x:c>
      <x:c r="B129" t="str">
        <x:v>2024-07</x:v>
      </x:c>
      <x:c r="C129" t="str">
        <x:v>Salaried</x:v>
      </x:c>
      <x:c r="D129" t="str">
        <x:v>Group B</x:v>
      </x:c>
      <x:c r="E129" s="26" t="n">
        <x:v>5840.61</x:v>
      </x:c>
      <x:c r="F129" t="n">
        <x:v>0</x:v>
      </x:c>
      <x:c r="G129" s="25" t="n">
        <x:v>0.063301</x:v>
      </x:c>
      <x:c r="H129" t="n">
        <x:f>IF(G129&lt;$B$6,1,0)</x:f>
        <x:v>1</x:v>
      </x:c>
      <x:c r="I129" s="26" t="n">
        <x:f>H129*IF(F129=0,E129*$B$7,-E129*$B$8)</x:f>
        <x:v>700.8731999999999</x:v>
      </x:c>
    </x:row>
    <x:row r="130">
      <x:c r="A130" t="n">
        <x:v>3415</x:v>
      </x:c>
      <x:c r="B130" t="str">
        <x:v>2024-07</x:v>
      </x:c>
      <x:c r="C130" t="str">
        <x:v>Salaried</x:v>
      </x:c>
      <x:c r="D130" t="str">
        <x:v>Group A</x:v>
      </x:c>
      <x:c r="E130" s="26" t="n">
        <x:v>14891.75</x:v>
      </x:c>
      <x:c r="F130" t="n">
        <x:v>0</x:v>
      </x:c>
      <x:c r="G130" s="25" t="n">
        <x:v>0.069456</x:v>
      </x:c>
      <x:c r="H130" t="n">
        <x:f>IF(G130&lt;$B$6,1,0)</x:f>
        <x:v>1</x:v>
      </x:c>
      <x:c r="I130" s="26" t="n">
        <x:f>H130*IF(F130=0,E130*$B$7,-E130*$B$8)</x:f>
        <x:v>1787.01</x:v>
      </x:c>
    </x:row>
    <x:row r="131">
      <x:c r="A131" t="n">
        <x:v>3425</x:v>
      </x:c>
      <x:c r="B131" t="str">
        <x:v>2024-07</x:v>
      </x:c>
      <x:c r="C131" t="str">
        <x:v>Salaried</x:v>
      </x:c>
      <x:c r="D131" t="str">
        <x:v>Group A</x:v>
      </x:c>
      <x:c r="E131" s="26" t="n">
        <x:v>30742.26</x:v>
      </x:c>
      <x:c r="F131" t="n">
        <x:v>0</x:v>
      </x:c>
      <x:c r="G131" s="25" t="n">
        <x:v>0.199365</x:v>
      </x:c>
      <x:c r="H131" t="n">
        <x:f>IF(G131&lt;$B$6,1,0)</x:f>
        <x:v>0</x:v>
      </x:c>
      <x:c r="I131" s="26" t="n">
        <x:f>H131*IF(F131=0,E131*$B$7,-E131*$B$8)</x:f>
        <x:v>0</x:v>
      </x:c>
    </x:row>
    <x:row r="132">
      <x:c r="A132" t="n">
        <x:v>3440</x:v>
      </x:c>
      <x:c r="B132" t="str">
        <x:v>2024-07</x:v>
      </x:c>
      <x:c r="C132" t="str">
        <x:v>Salaried</x:v>
      </x:c>
      <x:c r="D132" t="str">
        <x:v>Group A</x:v>
      </x:c>
      <x:c r="E132" s="26" t="n">
        <x:v>11919.19</x:v>
      </x:c>
      <x:c r="F132" t="n">
        <x:v>0</x:v>
      </x:c>
      <x:c r="G132" s="25" t="n">
        <x:v>0.251445</x:v>
      </x:c>
      <x:c r="H132" t="n">
        <x:f>IF(G132&lt;$B$6,1,0)</x:f>
        <x:v>0</x:v>
      </x:c>
      <x:c r="I132" s="26" t="n">
        <x:f>H132*IF(F132=0,E132*$B$7,-E132*$B$8)</x:f>
        <x:v>0</x:v>
      </x:c>
    </x:row>
    <x:row r="133">
      <x:c r="A133" t="n">
        <x:v>3461</x:v>
      </x:c>
      <x:c r="B133" t="str">
        <x:v>2024-07</x:v>
      </x:c>
      <x:c r="C133" t="str">
        <x:v>Salaried</x:v>
      </x:c>
      <x:c r="D133" t="str">
        <x:v>Group B</x:v>
      </x:c>
      <x:c r="E133" s="26" t="n">
        <x:v>15064.42</x:v>
      </x:c>
      <x:c r="F133" t="n">
        <x:v>0</x:v>
      </x:c>
      <x:c r="G133" s="25" t="n">
        <x:v>0.131939</x:v>
      </x:c>
      <x:c r="H133" t="n">
        <x:f>IF(G133&lt;$B$6,1,0)</x:f>
        <x:v>1</x:v>
      </x:c>
      <x:c r="I133" s="26" t="n">
        <x:f>H133*IF(F133=0,E133*$B$7,-E133*$B$8)</x:f>
        <x:v>1807.7304</x:v>
      </x:c>
    </x:row>
    <x:row r="134">
      <x:c r="A134" t="n">
        <x:v>3471</x:v>
      </x:c>
      <x:c r="B134" t="str">
        <x:v>2024-07</x:v>
      </x:c>
      <x:c r="C134" t="str">
        <x:v>Self employed</x:v>
      </x:c>
      <x:c r="D134" t="str">
        <x:v>Group B</x:v>
      </x:c>
      <x:c r="E134" s="26" t="n">
        <x:v>10882.31</x:v>
      </x:c>
      <x:c r="F134" t="n">
        <x:v>0</x:v>
      </x:c>
      <x:c r="G134" s="25" t="n">
        <x:v>0.152103</x:v>
      </x:c>
      <x:c r="H134" t="n">
        <x:f>IF(G134&lt;$B$6,1,0)</x:f>
        <x:v>1</x:v>
      </x:c>
      <x:c r="I134" s="26" t="n">
        <x:f>H134*IF(F134=0,E134*$B$7,-E134*$B$8)</x:f>
        <x:v>1305.8772</x:v>
      </x:c>
    </x:row>
    <x:row r="135">
      <x:c r="A135" t="n">
        <x:v>3480</x:v>
      </x:c>
      <x:c r="B135" t="str">
        <x:v>2024-07</x:v>
      </x:c>
      <x:c r="C135" t="str">
        <x:v>Salaried</x:v>
      </x:c>
      <x:c r="D135" t="str">
        <x:v>Group A</x:v>
      </x:c>
      <x:c r="E135" s="26" t="n">
        <x:v>7529.85</x:v>
      </x:c>
      <x:c r="F135" t="n">
        <x:v>0</x:v>
      </x:c>
      <x:c r="G135" s="25" t="n">
        <x:v>0.028069</x:v>
      </x:c>
      <x:c r="H135" t="n">
        <x:f>IF(G135&lt;$B$6,1,0)</x:f>
        <x:v>1</x:v>
      </x:c>
      <x:c r="I135" s="26" t="n">
        <x:f>H135*IF(F135=0,E135*$B$7,-E135*$B$8)</x:f>
        <x:v>903.582</x:v>
      </x:c>
    </x:row>
    <x:row r="136">
      <x:c r="A136" t="n">
        <x:v>3528</x:v>
      </x:c>
      <x:c r="B136" t="str">
        <x:v>2024-07</x:v>
      </x:c>
      <x:c r="C136" t="str">
        <x:v>Salaried</x:v>
      </x:c>
      <x:c r="D136" t="str">
        <x:v>Group A</x:v>
      </x:c>
      <x:c r="E136" s="26" t="n">
        <x:v>10062.6</x:v>
      </x:c>
      <x:c r="F136" t="n">
        <x:v>0</x:v>
      </x:c>
      <x:c r="G136" s="25" t="n">
        <x:v>0.144287</x:v>
      </x:c>
      <x:c r="H136" t="n">
        <x:f>IF(G136&lt;$B$6,1,0)</x:f>
        <x:v>1</x:v>
      </x:c>
      <x:c r="I136" s="26" t="n">
        <x:f>H136*IF(F136=0,E136*$B$7,-E136*$B$8)</x:f>
        <x:v>1207.512</x:v>
      </x:c>
    </x:row>
    <x:row r="137">
      <x:c r="A137" t="n">
        <x:v>3577</x:v>
      </x:c>
      <x:c r="B137" t="str">
        <x:v>2024-07</x:v>
      </x:c>
      <x:c r="C137" t="str">
        <x:v>Salaried</x:v>
      </x:c>
      <x:c r="D137" t="str">
        <x:v>Group B</x:v>
      </x:c>
      <x:c r="E137" s="26" t="n">
        <x:v>17248.05</x:v>
      </x:c>
      <x:c r="F137" t="n">
        <x:v>1</x:v>
      </x:c>
      <x:c r="G137" s="25" t="n">
        <x:v>0.196569</x:v>
      </x:c>
      <x:c r="H137" t="n">
        <x:f>IF(G137&lt;$B$6,1,0)</x:f>
        <x:v>0</x:v>
      </x:c>
      <x:c r="I137" s="26" t="n">
        <x:f>H137*IF(F137=0,E137*$B$7,-E137*$B$8)</x:f>
        <x:v>0</x:v>
      </x:c>
    </x:row>
    <x:row r="138">
      <x:c r="A138" t="n">
        <x:v>3586</x:v>
      </x:c>
      <x:c r="B138" t="str">
        <x:v>2024-07</x:v>
      </x:c>
      <x:c r="C138" t="str">
        <x:v>Self employed</x:v>
      </x:c>
      <x:c r="D138" t="str">
        <x:v>Group B</x:v>
      </x:c>
      <x:c r="E138" s="26" t="n">
        <x:v>5419.75</x:v>
      </x:c>
      <x:c r="F138" t="n">
        <x:v>0</x:v>
      </x:c>
      <x:c r="G138" s="25" t="n">
        <x:v>0.353984</x:v>
      </x:c>
      <x:c r="H138" t="n">
        <x:f>IF(G138&lt;$B$6,1,0)</x:f>
        <x:v>0</x:v>
      </x:c>
      <x:c r="I138" s="26" t="n">
        <x:f>H138*IF(F138=0,E138*$B$7,-E138*$B$8)</x:f>
        <x:v>0</x:v>
      </x:c>
    </x:row>
    <x:row r="139">
      <x:c r="A139" t="n">
        <x:v>3654</x:v>
      </x:c>
      <x:c r="B139" t="str">
        <x:v>2024-07</x:v>
      </x:c>
      <x:c r="C139" t="str">
        <x:v>Salaried</x:v>
      </x:c>
      <x:c r="D139" t="str">
        <x:v>Group A</x:v>
      </x:c>
      <x:c r="E139" s="26" t="n">
        <x:v>12689.26</x:v>
      </x:c>
      <x:c r="F139" t="n">
        <x:v>0</x:v>
      </x:c>
      <x:c r="G139" s="25" t="n">
        <x:v>0.355981</x:v>
      </x:c>
      <x:c r="H139" t="n">
        <x:f>IF(G139&lt;$B$6,1,0)</x:f>
        <x:v>0</x:v>
      </x:c>
      <x:c r="I139" s="26" t="n">
        <x:f>H139*IF(F139=0,E139*$B$7,-E139*$B$8)</x:f>
        <x:v>0</x:v>
      </x:c>
    </x:row>
    <x:row r="140">
      <x:c r="A140" t="n">
        <x:v>3655</x:v>
      </x:c>
      <x:c r="B140" t="str">
        <x:v>2024-07</x:v>
      </x:c>
      <x:c r="C140" t="str">
        <x:v>Salaried</x:v>
      </x:c>
      <x:c r="D140" t="str">
        <x:v>Group B</x:v>
      </x:c>
      <x:c r="E140" s="26" t="n">
        <x:v>6384.24</x:v>
      </x:c>
      <x:c r="F140" t="n">
        <x:v>0</x:v>
      </x:c>
      <x:c r="G140" s="25" t="n">
        <x:v>0.136564</x:v>
      </x:c>
      <x:c r="H140" t="n">
        <x:f>IF(G140&lt;$B$6,1,0)</x:f>
        <x:v>1</x:v>
      </x:c>
      <x:c r="I140" s="26" t="n">
        <x:f>H140*IF(F140=0,E140*$B$7,-E140*$B$8)</x:f>
        <x:v>766.1088</x:v>
      </x:c>
    </x:row>
    <x:row r="141">
      <x:c r="A141" t="n">
        <x:v>3687</x:v>
      </x:c>
      <x:c r="B141" t="str">
        <x:v>2024-07</x:v>
      </x:c>
      <x:c r="C141" t="str">
        <x:v>Salaried</x:v>
      </x:c>
      <x:c r="D141" t="str">
        <x:v>Group A</x:v>
      </x:c>
      <x:c r="E141" s="26" t="n">
        <x:v>8226.09</x:v>
      </x:c>
      <x:c r="F141" t="n">
        <x:v>0</x:v>
      </x:c>
      <x:c r="G141" s="25" t="n">
        <x:v>0.039358</x:v>
      </x:c>
      <x:c r="H141" t="n">
        <x:f>IF(G141&lt;$B$6,1,0)</x:f>
        <x:v>1</x:v>
      </x:c>
      <x:c r="I141" s="26" t="n">
        <x:f>H141*IF(F141=0,E141*$B$7,-E141*$B$8)</x:f>
        <x:v>987.1308</x:v>
      </x:c>
    </x:row>
    <x:row r="142">
      <x:c r="A142" t="n">
        <x:v>3707</x:v>
      </x:c>
      <x:c r="B142" t="str">
        <x:v>2024-07</x:v>
      </x:c>
      <x:c r="C142" t="str">
        <x:v>Contract</x:v>
      </x:c>
      <x:c r="D142" t="str">
        <x:v>Group B</x:v>
      </x:c>
      <x:c r="E142" s="26" t="n">
        <x:v>10944.35</x:v>
      </x:c>
      <x:c r="F142" t="n">
        <x:v>1</x:v>
      </x:c>
      <x:c r="G142" s="25" t="n">
        <x:v>0.599028</x:v>
      </x:c>
      <x:c r="H142" t="n">
        <x:f>IF(G142&lt;$B$6,1,0)</x:f>
        <x:v>0</x:v>
      </x:c>
      <x:c r="I142" s="26" t="n">
        <x:f>H142*IF(F142=0,E142*$B$7,-E142*$B$8)</x:f>
        <x:v>0</x:v>
      </x:c>
    </x:row>
    <x:row r="143">
      <x:c r="A143" t="n">
        <x:v>3736</x:v>
      </x:c>
      <x:c r="B143" t="str">
        <x:v>2024-07</x:v>
      </x:c>
      <x:c r="C143" t="str">
        <x:v>Salaried</x:v>
      </x:c>
      <x:c r="D143" t="str">
        <x:v>Group B</x:v>
      </x:c>
      <x:c r="E143" s="26" t="n">
        <x:v>24500.54</x:v>
      </x:c>
      <x:c r="F143" t="n">
        <x:v>0</x:v>
      </x:c>
      <x:c r="G143" s="25" t="n">
        <x:v>0.150662</x:v>
      </x:c>
      <x:c r="H143" t="n">
        <x:f>IF(G143&lt;$B$6,1,0)</x:f>
        <x:v>1</x:v>
      </x:c>
      <x:c r="I143" s="26" t="n">
        <x:f>H143*IF(F143=0,E143*$B$7,-E143*$B$8)</x:f>
        <x:v>2940.0648</x:v>
      </x:c>
    </x:row>
    <x:row r="144">
      <x:c r="A144" t="n">
        <x:v>3767</x:v>
      </x:c>
      <x:c r="B144" t="str">
        <x:v>2024-07</x:v>
      </x:c>
      <x:c r="C144" t="str">
        <x:v>Salaried</x:v>
      </x:c>
      <x:c r="D144" t="str">
        <x:v>Group B</x:v>
      </x:c>
      <x:c r="E144" s="26" t="n">
        <x:v>19358.59</x:v>
      </x:c>
      <x:c r="F144" t="n">
        <x:v>1</x:v>
      </x:c>
      <x:c r="G144" s="25" t="n">
        <x:v>0.565204</x:v>
      </x:c>
      <x:c r="H144" t="n">
        <x:f>IF(G144&lt;$B$6,1,0)</x:f>
        <x:v>0</x:v>
      </x:c>
      <x:c r="I144" s="26" t="n">
        <x:f>H144*IF(F144=0,E144*$B$7,-E144*$B$8)</x:f>
        <x:v>0</x:v>
      </x:c>
    </x:row>
    <x:row r="145">
      <x:c r="A145" t="n">
        <x:v>3905</x:v>
      </x:c>
      <x:c r="B145" t="str">
        <x:v>2024-07</x:v>
      </x:c>
      <x:c r="C145" t="str">
        <x:v>Self employed</x:v>
      </x:c>
      <x:c r="D145" t="str">
        <x:v>Group B</x:v>
      </x:c>
      <x:c r="E145" s="26" t="n">
        <x:v>6083.65</x:v>
      </x:c>
      <x:c r="F145" t="n">
        <x:v>1</x:v>
      </x:c>
      <x:c r="G145" s="25" t="n">
        <x:v>0.281841</x:v>
      </x:c>
      <x:c r="H145" t="n">
        <x:f>IF(G145&lt;$B$6,1,0)</x:f>
        <x:v>0</x:v>
      </x:c>
      <x:c r="I145" s="26" t="n">
        <x:f>H145*IF(F145=0,E145*$B$7,-E145*$B$8)</x:f>
        <x:v>0</x:v>
      </x:c>
    </x:row>
    <x:row r="146">
      <x:c r="A146" t="n">
        <x:v>3913</x:v>
      </x:c>
      <x:c r="B146" t="str">
        <x:v>2024-07</x:v>
      </x:c>
      <x:c r="C146" t="str">
        <x:v>Contract</x:v>
      </x:c>
      <x:c r="D146" t="str">
        <x:v>Group A</x:v>
      </x:c>
      <x:c r="E146" s="26" t="n">
        <x:v>22915.48</x:v>
      </x:c>
      <x:c r="F146" t="n">
        <x:v>1</x:v>
      </x:c>
      <x:c r="G146" s="25" t="n">
        <x:v>0.912251</x:v>
      </x:c>
      <x:c r="H146" t="n">
        <x:f>IF(G146&lt;$B$6,1,0)</x:f>
        <x:v>0</x:v>
      </x:c>
      <x:c r="I146" s="26" t="n">
        <x:f>H146*IF(F146=0,E146*$B$7,-E146*$B$8)</x:f>
        <x:v>0</x:v>
      </x:c>
    </x:row>
    <x:row r="147">
      <x:c r="A147" t="n">
        <x:v>3915</x:v>
      </x:c>
      <x:c r="B147" t="str">
        <x:v>2024-07</x:v>
      </x:c>
      <x:c r="C147" t="str">
        <x:v>Contract</x:v>
      </x:c>
      <x:c r="D147" t="str">
        <x:v>Group A</x:v>
      </x:c>
      <x:c r="E147" s="26" t="n">
        <x:v>49759.13</x:v>
      </x:c>
      <x:c r="F147" t="n">
        <x:v>0</x:v>
      </x:c>
      <x:c r="G147" s="25" t="n">
        <x:v>0.629676</x:v>
      </x:c>
      <x:c r="H147" t="n">
        <x:f>IF(G147&lt;$B$6,1,0)</x:f>
        <x:v>0</x:v>
      </x:c>
      <x:c r="I147" s="26" t="n">
        <x:f>H147*IF(F147=0,E147*$B$7,-E147*$B$8)</x:f>
        <x:v>0</x:v>
      </x:c>
    </x:row>
    <x:row r="148">
      <x:c r="A148" t="n">
        <x:v>3993</x:v>
      </x:c>
      <x:c r="B148" t="str">
        <x:v>2024-07</x:v>
      </x:c>
      <x:c r="C148" t="str">
        <x:v>Salaried</x:v>
      </x:c>
      <x:c r="D148" t="str">
        <x:v>Group A</x:v>
      </x:c>
      <x:c r="E148" s="26" t="n">
        <x:v>7920.19</x:v>
      </x:c>
      <x:c r="F148" t="n">
        <x:v>0</x:v>
      </x:c>
      <x:c r="G148" s="25" t="n">
        <x:v>0.036215</x:v>
      </x:c>
      <x:c r="H148" t="n">
        <x:f>IF(G148&lt;$B$6,1,0)</x:f>
        <x:v>1</x:v>
      </x:c>
      <x:c r="I148" s="26" t="n">
        <x:f>H148*IF(F148=0,E148*$B$7,-E148*$B$8)</x:f>
        <x:v>950.4227999999999</x:v>
      </x:c>
    </x:row>
    <x:row r="149">
      <x:c r="A149" t="n">
        <x:v>4094</x:v>
      </x:c>
      <x:c r="B149" t="str">
        <x:v>2024-07</x:v>
      </x:c>
      <x:c r="C149" t="str">
        <x:v>Salaried</x:v>
      </x:c>
      <x:c r="D149" t="str">
        <x:v>Group A</x:v>
      </x:c>
      <x:c r="E149" s="26" t="n">
        <x:v>20063.69</x:v>
      </x:c>
      <x:c r="F149" t="n">
        <x:v>0</x:v>
      </x:c>
      <x:c r="G149" s="25" t="n">
        <x:v>0.074607</x:v>
      </x:c>
      <x:c r="H149" t="n">
        <x:f>IF(G149&lt;$B$6,1,0)</x:f>
        <x:v>1</x:v>
      </x:c>
      <x:c r="I149" s="26" t="n">
        <x:f>H149*IF(F149=0,E149*$B$7,-E149*$B$8)</x:f>
        <x:v>2407.6427999999996</x:v>
      </x:c>
    </x:row>
    <x:row r="150">
      <x:c r="A150" t="n">
        <x:v>4117</x:v>
      </x:c>
      <x:c r="B150" t="str">
        <x:v>2024-07</x:v>
      </x:c>
      <x:c r="C150" t="str">
        <x:v>Self employed</x:v>
      </x:c>
      <x:c r="D150" t="str">
        <x:v>Group A</x:v>
      </x:c>
      <x:c r="E150" s="26" t="n">
        <x:v>16496.94</x:v>
      </x:c>
      <x:c r="F150" t="n">
        <x:v>0</x:v>
      </x:c>
      <x:c r="G150" s="25" t="n">
        <x:v>0.098458</x:v>
      </x:c>
      <x:c r="H150" t="n">
        <x:f>IF(G150&lt;$B$6,1,0)</x:f>
        <x:v>1</x:v>
      </x:c>
      <x:c r="I150" s="26" t="n">
        <x:f>H150*IF(F150=0,E150*$B$7,-E150*$B$8)</x:f>
        <x:v>1979.6327999999999</x:v>
      </x:c>
    </x:row>
    <x:row r="151">
      <x:c r="A151" t="n">
        <x:v>4118</x:v>
      </x:c>
      <x:c r="B151" t="str">
        <x:v>2024-07</x:v>
      </x:c>
      <x:c r="C151" t="str">
        <x:v>Salaried</x:v>
      </x:c>
      <x:c r="D151" t="str">
        <x:v>Group B</x:v>
      </x:c>
      <x:c r="E151" s="26" t="n">
        <x:v>5295.94</x:v>
      </x:c>
      <x:c r="F151" t="n">
        <x:v>0</x:v>
      </x:c>
      <x:c r="G151" s="25" t="n">
        <x:v>0.053202</x:v>
      </x:c>
      <x:c r="H151" t="n">
        <x:f>IF(G151&lt;$B$6,1,0)</x:f>
        <x:v>1</x:v>
      </x:c>
      <x:c r="I151" s="26" t="n">
        <x:f>H151*IF(F151=0,E151*$B$7,-E151*$B$8)</x:f>
        <x:v>635.5128</x:v>
      </x:c>
    </x:row>
    <x:row r="152">
      <x:c r="A152" t="n">
        <x:v>4119</x:v>
      </x:c>
      <x:c r="B152" t="str">
        <x:v>2024-07</x:v>
      </x:c>
      <x:c r="C152" t="str">
        <x:v>Self employed</x:v>
      </x:c>
      <x:c r="D152" t="str">
        <x:v>Group B</x:v>
      </x:c>
      <x:c r="E152" s="26" t="n">
        <x:v>29108.94</x:v>
      </x:c>
      <x:c r="F152" t="n">
        <x:v>0</x:v>
      </x:c>
      <x:c r="G152" s="25" t="n">
        <x:v>0.305764</x:v>
      </x:c>
      <x:c r="H152" t="n">
        <x:f>IF(G152&lt;$B$6,1,0)</x:f>
        <x:v>0</x:v>
      </x:c>
      <x:c r="I152" s="26" t="n">
        <x:f>H152*IF(F152=0,E152*$B$7,-E152*$B$8)</x:f>
        <x:v>0</x:v>
      </x:c>
    </x:row>
    <x:row r="153">
      <x:c r="A153" t="n">
        <x:v>4142</x:v>
      </x:c>
      <x:c r="B153" t="str">
        <x:v>2024-07</x:v>
      </x:c>
      <x:c r="C153" t="str">
        <x:v>Salaried</x:v>
      </x:c>
      <x:c r="D153" t="str">
        <x:v>Group A</x:v>
      </x:c>
      <x:c r="E153" s="26" t="n">
        <x:v>21981.17</x:v>
      </x:c>
      <x:c r="F153" t="n">
        <x:v>0</x:v>
      </x:c>
      <x:c r="G153" s="25" t="n">
        <x:v>0.412636</x:v>
      </x:c>
      <x:c r="H153" t="n">
        <x:f>IF(G153&lt;$B$6,1,0)</x:f>
        <x:v>0</x:v>
      </x:c>
      <x:c r="I153" s="26" t="n">
        <x:f>H153*IF(F153=0,E153*$B$7,-E153*$B$8)</x:f>
        <x:v>0</x:v>
      </x:c>
    </x:row>
    <x:row r="154">
      <x:c r="A154" t="n">
        <x:v>4150</x:v>
      </x:c>
      <x:c r="B154" t="str">
        <x:v>2024-07</x:v>
      </x:c>
      <x:c r="C154" t="str">
        <x:v>Salaried</x:v>
      </x:c>
      <x:c r="D154" t="str">
        <x:v>Group A</x:v>
      </x:c>
      <x:c r="E154" s="26" t="n">
        <x:v>18257.64</x:v>
      </x:c>
      <x:c r="F154" t="n">
        <x:v>0</x:v>
      </x:c>
      <x:c r="G154" s="25" t="n">
        <x:v>0.097853</x:v>
      </x:c>
      <x:c r="H154" t="n">
        <x:f>IF(G154&lt;$B$6,1,0)</x:f>
        <x:v>1</x:v>
      </x:c>
      <x:c r="I154" s="26" t="n">
        <x:f>H154*IF(F154=0,E154*$B$7,-E154*$B$8)</x:f>
        <x:v>2190.9168</x:v>
      </x:c>
    </x:row>
    <x:row r="155">
      <x:c r="A155" t="n">
        <x:v>4171</x:v>
      </x:c>
      <x:c r="B155" t="str">
        <x:v>2024-07</x:v>
      </x:c>
      <x:c r="C155" t="str">
        <x:v>Salaried</x:v>
      </x:c>
      <x:c r="D155" t="str">
        <x:v>Group A</x:v>
      </x:c>
      <x:c r="E155" s="26" t="n">
        <x:v>25675.8</x:v>
      </x:c>
      <x:c r="F155" t="n">
        <x:v>0</x:v>
      </x:c>
      <x:c r="G155" s="25" t="n">
        <x:v>0.078603</x:v>
      </x:c>
      <x:c r="H155" t="n">
        <x:f>IF(G155&lt;$B$6,1,0)</x:f>
        <x:v>1</x:v>
      </x:c>
      <x:c r="I155" s="26" t="n">
        <x:f>H155*IF(F155=0,E155*$B$7,-E155*$B$8)</x:f>
        <x:v>3081.096</x:v>
      </x:c>
    </x:row>
    <x:row r="156">
      <x:c r="A156" t="n">
        <x:v>4172</x:v>
      </x:c>
      <x:c r="B156" t="str">
        <x:v>2024-07</x:v>
      </x:c>
      <x:c r="C156" t="str">
        <x:v>Contract</x:v>
      </x:c>
      <x:c r="D156" t="str">
        <x:v>Group B</x:v>
      </x:c>
      <x:c r="E156" s="26" t="n">
        <x:v>9714.22</x:v>
      </x:c>
      <x:c r="F156" t="n">
        <x:v>1</x:v>
      </x:c>
      <x:c r="G156" s="25" t="n">
        <x:v>0.23891</x:v>
      </x:c>
      <x:c r="H156" t="n">
        <x:f>IF(G156&lt;$B$6,1,0)</x:f>
        <x:v>0</x:v>
      </x:c>
      <x:c r="I156" s="26" t="n">
        <x:f>H156*IF(F156=0,E156*$B$7,-E156*$B$8)</x:f>
        <x:v>0</x:v>
      </x:c>
    </x:row>
    <x:row r="157">
      <x:c r="A157" t="n">
        <x:v>4213</x:v>
      </x:c>
      <x:c r="B157" t="str">
        <x:v>2024-07</x:v>
      </x:c>
      <x:c r="C157" t="str">
        <x:v>Self employed</x:v>
      </x:c>
      <x:c r="D157" t="str">
        <x:v>Group A</x:v>
      </x:c>
      <x:c r="E157" s="26" t="n">
        <x:v>18598.99</x:v>
      </x:c>
      <x:c r="F157" t="n">
        <x:v>0</x:v>
      </x:c>
      <x:c r="G157" s="25" t="n">
        <x:v>0.050267</x:v>
      </x:c>
      <x:c r="H157" t="n">
        <x:f>IF(G157&lt;$B$6,1,0)</x:f>
        <x:v>1</x:v>
      </x:c>
      <x:c r="I157" s="26" t="n">
        <x:f>H157*IF(F157=0,E157*$B$7,-E157*$B$8)</x:f>
        <x:v>2231.8788</x:v>
      </x:c>
    </x:row>
    <x:row r="158">
      <x:c r="A158" t="n">
        <x:v>4218</x:v>
      </x:c>
      <x:c r="B158" t="str">
        <x:v>2024-07</x:v>
      </x:c>
      <x:c r="C158" t="str">
        <x:v>Contract</x:v>
      </x:c>
      <x:c r="D158" t="str">
        <x:v>Group A</x:v>
      </x:c>
      <x:c r="E158" s="26" t="n">
        <x:v>26117.84</x:v>
      </x:c>
      <x:c r="F158" t="n">
        <x:v>0</x:v>
      </x:c>
      <x:c r="G158" s="25" t="n">
        <x:v>0.025666</x:v>
      </x:c>
      <x:c r="H158" t="n">
        <x:f>IF(G158&lt;$B$6,1,0)</x:f>
        <x:v>1</x:v>
      </x:c>
      <x:c r="I158" s="26" t="n">
        <x:f>H158*IF(F158=0,E158*$B$7,-E158*$B$8)</x:f>
        <x:v>3134.1408</x:v>
      </x:c>
    </x:row>
    <x:row r="159">
      <x:c r="A159" t="n">
        <x:v>4245</x:v>
      </x:c>
      <x:c r="B159" t="str">
        <x:v>2024-07</x:v>
      </x:c>
      <x:c r="C159" t="str">
        <x:v>Salaried</x:v>
      </x:c>
      <x:c r="D159" t="str">
        <x:v>Group A</x:v>
      </x:c>
      <x:c r="E159" s="26" t="n">
        <x:v>14695.82</x:v>
      </x:c>
      <x:c r="F159" t="n">
        <x:v>0</x:v>
      </x:c>
      <x:c r="G159" s="25" t="n">
        <x:v>0.425392</x:v>
      </x:c>
      <x:c r="H159" t="n">
        <x:f>IF(G159&lt;$B$6,1,0)</x:f>
        <x:v>0</x:v>
      </x:c>
      <x:c r="I159" s="26" t="n">
        <x:f>H159*IF(F159=0,E159*$B$7,-E159*$B$8)</x:f>
        <x:v>0</x:v>
      </x:c>
    </x:row>
    <x:row r="160">
      <x:c r="A160" t="n">
        <x:v>4251</x:v>
      </x:c>
      <x:c r="B160" t="str">
        <x:v>2024-07</x:v>
      </x:c>
      <x:c r="C160" t="str">
        <x:v>Salaried</x:v>
      </x:c>
      <x:c r="D160" t="str">
        <x:v>Group A</x:v>
      </x:c>
      <x:c r="E160" s="26" t="n">
        <x:v>23723.21</x:v>
      </x:c>
      <x:c r="F160" t="n">
        <x:v>0</x:v>
      </x:c>
      <x:c r="G160" s="25" t="n">
        <x:v>0.1196</x:v>
      </x:c>
      <x:c r="H160" t="n">
        <x:f>IF(G160&lt;$B$6,1,0)</x:f>
        <x:v>1</x:v>
      </x:c>
      <x:c r="I160" s="26" t="n">
        <x:f>H160*IF(F160=0,E160*$B$7,-E160*$B$8)</x:f>
        <x:v>2846.7852</x:v>
      </x:c>
    </x:row>
    <x:row r="161">
      <x:c r="A161" t="n">
        <x:v>4267</x:v>
      </x:c>
      <x:c r="B161" t="str">
        <x:v>2024-07</x:v>
      </x:c>
      <x:c r="C161" t="str">
        <x:v>Salaried</x:v>
      </x:c>
      <x:c r="D161" t="str">
        <x:v>Group B</x:v>
      </x:c>
      <x:c r="E161" s="26" t="n">
        <x:v>24503.79</x:v>
      </x:c>
      <x:c r="F161" t="n">
        <x:v>0</x:v>
      </x:c>
      <x:c r="G161" s="25" t="n">
        <x:v>0.197385</x:v>
      </x:c>
      <x:c r="H161" t="n">
        <x:f>IF(G161&lt;$B$6,1,0)</x:f>
        <x:v>0</x:v>
      </x:c>
      <x:c r="I161" s="26" t="n">
        <x:f>H161*IF(F161=0,E161*$B$7,-E161*$B$8)</x:f>
        <x:v>0</x:v>
      </x:c>
    </x:row>
    <x:row r="162">
      <x:c r="A162" t="n">
        <x:v>4277</x:v>
      </x:c>
      <x:c r="B162" t="str">
        <x:v>2024-07</x:v>
      </x:c>
      <x:c r="C162" t="str">
        <x:v>Self employed</x:v>
      </x:c>
      <x:c r="D162" t="str">
        <x:v>Group A</x:v>
      </x:c>
      <x:c r="E162" s="26" t="n">
        <x:v>13779.79</x:v>
      </x:c>
      <x:c r="F162" t="n">
        <x:v>1</x:v>
      </x:c>
      <x:c r="G162" s="25" t="n">
        <x:v>0.215518</x:v>
      </x:c>
      <x:c r="H162" t="n">
        <x:f>IF(G162&lt;$B$6,1,0)</x:f>
        <x:v>0</x:v>
      </x:c>
      <x:c r="I162" s="26" t="n">
        <x:f>H162*IF(F162=0,E162*$B$7,-E162*$B$8)</x:f>
        <x:v>0</x:v>
      </x:c>
    </x:row>
    <x:row r="163">
      <x:c r="A163" t="n">
        <x:v>4288</x:v>
      </x:c>
      <x:c r="B163" t="str">
        <x:v>2024-07</x:v>
      </x:c>
      <x:c r="C163" t="str">
        <x:v>Contract</x:v>
      </x:c>
      <x:c r="D163" t="str">
        <x:v>Group A</x:v>
      </x:c>
      <x:c r="E163" s="26" t="n">
        <x:v>15857.18</x:v>
      </x:c>
      <x:c r="F163" t="n">
        <x:v>0</x:v>
      </x:c>
      <x:c r="G163" s="25" t="n">
        <x:v>0.398832</x:v>
      </x:c>
      <x:c r="H163" t="n">
        <x:f>IF(G163&lt;$B$6,1,0)</x:f>
        <x:v>0</x:v>
      </x:c>
      <x:c r="I163" s="26" t="n">
        <x:f>H163*IF(F163=0,E163*$B$7,-E163*$B$8)</x:f>
        <x:v>0</x:v>
      </x:c>
    </x:row>
    <x:row r="164">
      <x:c r="A164" t="n">
        <x:v>4310</x:v>
      </x:c>
      <x:c r="B164" t="str">
        <x:v>2024-07</x:v>
      </x:c>
      <x:c r="C164" t="str">
        <x:v>Salaried</x:v>
      </x:c>
      <x:c r="D164" t="str">
        <x:v>Group A</x:v>
      </x:c>
      <x:c r="E164" s="26" t="n">
        <x:v>27315.47</x:v>
      </x:c>
      <x:c r="F164" t="n">
        <x:v>0</x:v>
      </x:c>
      <x:c r="G164" s="25" t="n">
        <x:v>0.338671</x:v>
      </x:c>
      <x:c r="H164" t="n">
        <x:f>IF(G164&lt;$B$6,1,0)</x:f>
        <x:v>0</x:v>
      </x:c>
      <x:c r="I164" s="26" t="n">
        <x:f>H164*IF(F164=0,E164*$B$7,-E164*$B$8)</x:f>
        <x:v>0</x:v>
      </x:c>
    </x:row>
    <x:row r="165">
      <x:c r="A165" t="n">
        <x:v>4348</x:v>
      </x:c>
      <x:c r="B165" t="str">
        <x:v>2024-07</x:v>
      </x:c>
      <x:c r="C165" t="str">
        <x:v>Self employed</x:v>
      </x:c>
      <x:c r="D165" t="str">
        <x:v>Group B</x:v>
      </x:c>
      <x:c r="E165" s="26" t="n">
        <x:v>23867.25</x:v>
      </x:c>
      <x:c r="F165" t="n">
        <x:v>0</x:v>
      </x:c>
      <x:c r="G165" s="25" t="n">
        <x:v>0.037504</x:v>
      </x:c>
      <x:c r="H165" t="n">
        <x:f>IF(G165&lt;$B$6,1,0)</x:f>
        <x:v>1</x:v>
      </x:c>
      <x:c r="I165" s="26" t="n">
        <x:f>H165*IF(F165=0,E165*$B$7,-E165*$B$8)</x:f>
        <x:v>2864.0699999999997</x:v>
      </x:c>
    </x:row>
    <x:row r="166">
      <x:c r="A166" t="n">
        <x:v>4364</x:v>
      </x:c>
      <x:c r="B166" t="str">
        <x:v>2024-07</x:v>
      </x:c>
      <x:c r="C166" t="str">
        <x:v>Salaried</x:v>
      </x:c>
      <x:c r="D166" t="str">
        <x:v>Group B</x:v>
      </x:c>
      <x:c r="E166" s="26" t="n">
        <x:v>33113.62</x:v>
      </x:c>
      <x:c r="F166" t="n">
        <x:v>0</x:v>
      </x:c>
      <x:c r="G166" s="25" t="n">
        <x:v>0.719132</x:v>
      </x:c>
      <x:c r="H166" t="n">
        <x:f>IF(G166&lt;$B$6,1,0)</x:f>
        <x:v>0</x:v>
      </x:c>
      <x:c r="I166" s="26" t="n">
        <x:f>H166*IF(F166=0,E166*$B$7,-E166*$B$8)</x:f>
        <x:v>0</x:v>
      </x:c>
    </x:row>
    <x:row r="167">
      <x:c r="A167" t="n">
        <x:v>4373</x:v>
      </x:c>
      <x:c r="B167" t="str">
        <x:v>2024-07</x:v>
      </x:c>
      <x:c r="C167" t="str">
        <x:v>Salaried</x:v>
      </x:c>
      <x:c r="D167" t="str">
        <x:v>Group A</x:v>
      </x:c>
      <x:c r="E167" s="26" t="n">
        <x:v>27924.76</x:v>
      </x:c>
      <x:c r="F167" t="n">
        <x:v>0</x:v>
      </x:c>
      <x:c r="G167" s="25" t="n">
        <x:v>0.158572</x:v>
      </x:c>
      <x:c r="H167" t="n">
        <x:f>IF(G167&lt;$B$6,1,0)</x:f>
        <x:v>1</x:v>
      </x:c>
      <x:c r="I167" s="26" t="n">
        <x:f>H167*IF(F167=0,E167*$B$7,-E167*$B$8)</x:f>
        <x:v>3350.9711999999995</x:v>
      </x:c>
    </x:row>
    <x:row r="168">
      <x:c r="A168" t="n">
        <x:v>4380</x:v>
      </x:c>
      <x:c r="B168" t="str">
        <x:v>2024-07</x:v>
      </x:c>
      <x:c r="C168" t="str">
        <x:v>Salaried</x:v>
      </x:c>
      <x:c r="D168" t="str">
        <x:v>Group A</x:v>
      </x:c>
      <x:c r="E168" s="26" t="n">
        <x:v>36415.77</x:v>
      </x:c>
      <x:c r="F168" t="n">
        <x:v>0</x:v>
      </x:c>
      <x:c r="G168" s="25" t="n">
        <x:v>0.30918</x:v>
      </x:c>
      <x:c r="H168" t="n">
        <x:f>IF(G168&lt;$B$6,1,0)</x:f>
        <x:v>0</x:v>
      </x:c>
      <x:c r="I168" s="26" t="n">
        <x:f>H168*IF(F168=0,E168*$B$7,-E168*$B$8)</x:f>
        <x:v>0</x:v>
      </x:c>
    </x:row>
    <x:row r="169">
      <x:c r="A169" t="n">
        <x:v>4429</x:v>
      </x:c>
      <x:c r="B169" t="str">
        <x:v>2024-07</x:v>
      </x:c>
      <x:c r="C169" t="str">
        <x:v>Salaried</x:v>
      </x:c>
      <x:c r="D169" t="str">
        <x:v>Group A</x:v>
      </x:c>
      <x:c r="E169" s="26" t="n">
        <x:v>9762.55</x:v>
      </x:c>
      <x:c r="F169" t="n">
        <x:v>0</x:v>
      </x:c>
      <x:c r="G169" s="25" t="n">
        <x:v>0.096463</x:v>
      </x:c>
      <x:c r="H169" t="n">
        <x:f>IF(G169&lt;$B$6,1,0)</x:f>
        <x:v>1</x:v>
      </x:c>
      <x:c r="I169" s="26" t="n">
        <x:f>H169*IF(F169=0,E169*$B$7,-E169*$B$8)</x:f>
        <x:v>1171.5059999999999</x:v>
      </x:c>
    </x:row>
    <x:row r="170">
      <x:c r="A170" t="n">
        <x:v>4464</x:v>
      </x:c>
      <x:c r="B170" t="str">
        <x:v>2024-07</x:v>
      </x:c>
      <x:c r="C170" t="str">
        <x:v>Salaried</x:v>
      </x:c>
      <x:c r="D170" t="str">
        <x:v>Group B</x:v>
      </x:c>
      <x:c r="E170" s="26" t="n">
        <x:v>1564.2</x:v>
      </x:c>
      <x:c r="F170" t="n">
        <x:v>0</x:v>
      </x:c>
      <x:c r="G170" s="25" t="n">
        <x:v>0.142187</x:v>
      </x:c>
      <x:c r="H170" t="n">
        <x:f>IF(G170&lt;$B$6,1,0)</x:f>
        <x:v>1</x:v>
      </x:c>
      <x:c r="I170" s="26" t="n">
        <x:f>H170*IF(F170=0,E170*$B$7,-E170*$B$8)</x:f>
        <x:v>187.704</x:v>
      </x:c>
    </x:row>
    <x:row r="171">
      <x:c r="A171" t="n">
        <x:v>4501</x:v>
      </x:c>
      <x:c r="B171" t="str">
        <x:v>2024-07</x:v>
      </x:c>
      <x:c r="C171" t="str">
        <x:v>Salaried</x:v>
      </x:c>
      <x:c r="D171" t="str">
        <x:v>Group B</x:v>
      </x:c>
      <x:c r="E171" s="26" t="n">
        <x:v>21936.5</x:v>
      </x:c>
      <x:c r="F171" t="n">
        <x:v>0</x:v>
      </x:c>
      <x:c r="G171" s="25" t="n">
        <x:v>0.370961</x:v>
      </x:c>
      <x:c r="H171" t="n">
        <x:f>IF(G171&lt;$B$6,1,0)</x:f>
        <x:v>0</x:v>
      </x:c>
      <x:c r="I171" s="26" t="n">
        <x:f>H171*IF(F171=0,E171*$B$7,-E171*$B$8)</x:f>
        <x:v>0</x:v>
      </x:c>
    </x:row>
    <x:row r="172">
      <x:c r="A172" t="n">
        <x:v>4502</x:v>
      </x:c>
      <x:c r="B172" t="str">
        <x:v>2024-07</x:v>
      </x:c>
      <x:c r="C172" t="str">
        <x:v>Salaried</x:v>
      </x:c>
      <x:c r="D172" t="str">
        <x:v>Group A</x:v>
      </x:c>
      <x:c r="E172" s="26" t="n">
        <x:v>8397.32</x:v>
      </x:c>
      <x:c r="F172" t="n">
        <x:v>0</x:v>
      </x:c>
      <x:c r="G172" s="25" t="n">
        <x:v>0.199168</x:v>
      </x:c>
      <x:c r="H172" t="n">
        <x:f>IF(G172&lt;$B$6,1,0)</x:f>
        <x:v>0</x:v>
      </x:c>
      <x:c r="I172" s="26" t="n">
        <x:f>H172*IF(F172=0,E172*$B$7,-E172*$B$8)</x:f>
        <x:v>0</x:v>
      </x:c>
    </x:row>
    <x:row r="173">
      <x:c r="A173" t="n">
        <x:v>4544</x:v>
      </x:c>
      <x:c r="B173" t="str">
        <x:v>2024-07</x:v>
      </x:c>
      <x:c r="C173" t="str">
        <x:v>Self employed</x:v>
      </x:c>
      <x:c r="D173" t="str">
        <x:v>Group B</x:v>
      </x:c>
      <x:c r="E173" s="26" t="n">
        <x:v>34886.39</x:v>
      </x:c>
      <x:c r="F173" t="n">
        <x:v>1</x:v>
      </x:c>
      <x:c r="G173" s="25" t="n">
        <x:v>0.499194</x:v>
      </x:c>
      <x:c r="H173" t="n">
        <x:f>IF(G173&lt;$B$6,1,0)</x:f>
        <x:v>0</x:v>
      </x:c>
      <x:c r="I173" s="26" t="n">
        <x:f>H173*IF(F173=0,E173*$B$7,-E173*$B$8)</x:f>
        <x:v>0</x:v>
      </x:c>
    </x:row>
    <x:row r="174">
      <x:c r="A174" t="n">
        <x:v>4565</x:v>
      </x:c>
      <x:c r="B174" t="str">
        <x:v>2024-07</x:v>
      </x:c>
      <x:c r="C174" t="str">
        <x:v>Salaried</x:v>
      </x:c>
      <x:c r="D174" t="str">
        <x:v>Group A</x:v>
      </x:c>
      <x:c r="E174" s="26" t="n">
        <x:v>19599.08</x:v>
      </x:c>
      <x:c r="F174" t="n">
        <x:v>1</x:v>
      </x:c>
      <x:c r="G174" s="25" t="n">
        <x:v>0.422134</x:v>
      </x:c>
      <x:c r="H174" t="n">
        <x:f>IF(G174&lt;$B$6,1,0)</x:f>
        <x:v>0</x:v>
      </x:c>
      <x:c r="I174" s="26" t="n">
        <x:f>H174*IF(F174=0,E174*$B$7,-E174*$B$8)</x:f>
        <x:v>0</x:v>
      </x:c>
    </x:row>
    <x:row r="175">
      <x:c r="A175" t="n">
        <x:v>4612</x:v>
      </x:c>
      <x:c r="B175" t="str">
        <x:v>2024-07</x:v>
      </x:c>
      <x:c r="C175" t="str">
        <x:v>Salaried</x:v>
      </x:c>
      <x:c r="D175" t="str">
        <x:v>Group B</x:v>
      </x:c>
      <x:c r="E175" s="26" t="n">
        <x:v>40200.33</x:v>
      </x:c>
      <x:c r="F175" t="n">
        <x:v>0</x:v>
      </x:c>
      <x:c r="G175" s="25" t="n">
        <x:v>0.325858</x:v>
      </x:c>
      <x:c r="H175" t="n">
        <x:f>IF(G175&lt;$B$6,1,0)</x:f>
        <x:v>0</x:v>
      </x:c>
      <x:c r="I175" s="26" t="n">
        <x:f>H175*IF(F175=0,E175*$B$7,-E175*$B$8)</x:f>
        <x:v>0</x:v>
      </x:c>
    </x:row>
    <x:row r="176">
      <x:c r="A176" t="n">
        <x:v>4651</x:v>
      </x:c>
      <x:c r="B176" t="str">
        <x:v>2024-07</x:v>
      </x:c>
      <x:c r="C176" t="str">
        <x:v>Self employed</x:v>
      </x:c>
      <x:c r="D176" t="str">
        <x:v>Group A</x:v>
      </x:c>
      <x:c r="E176" s="26" t="n">
        <x:v>75000</x:v>
      </x:c>
      <x:c r="F176" t="n">
        <x:v>1</x:v>
      </x:c>
      <x:c r="G176" s="25" t="n">
        <x:v>0.539973</x:v>
      </x:c>
      <x:c r="H176" t="n">
        <x:f>IF(G176&lt;$B$6,1,0)</x:f>
        <x:v>0</x:v>
      </x:c>
      <x:c r="I176" s="26" t="n">
        <x:f>H176*IF(F176=0,E176*$B$7,-E176*$B$8)</x:f>
        <x:v>0</x:v>
      </x:c>
    </x:row>
    <x:row r="177">
      <x:c r="A177" t="n">
        <x:v>4673</x:v>
      </x:c>
      <x:c r="B177" t="str">
        <x:v>2024-07</x:v>
      </x:c>
      <x:c r="C177" t="str">
        <x:v>Self employed</x:v>
      </x:c>
      <x:c r="D177" t="str">
        <x:v>Group A</x:v>
      </x:c>
      <x:c r="E177" s="26" t="n">
        <x:v>21240.91</x:v>
      </x:c>
      <x:c r="F177" t="n">
        <x:v>1</x:v>
      </x:c>
      <x:c r="G177" s="25" t="n">
        <x:v>0.67098</x:v>
      </x:c>
      <x:c r="H177" t="n">
        <x:f>IF(G177&lt;$B$6,1,0)</x:f>
        <x:v>0</x:v>
      </x:c>
      <x:c r="I177" s="26" t="n">
        <x:f>H177*IF(F177=0,E177*$B$7,-E177*$B$8)</x:f>
        <x:v>0</x:v>
      </x:c>
    </x:row>
    <x:row r="178">
      <x:c r="A178" t="n">
        <x:v>4684</x:v>
      </x:c>
      <x:c r="B178" t="str">
        <x:v>2024-07</x:v>
      </x:c>
      <x:c r="C178" t="str">
        <x:v>Salaried</x:v>
      </x:c>
      <x:c r="D178" t="str">
        <x:v>Group A</x:v>
      </x:c>
      <x:c r="E178" s="26" t="n">
        <x:v>9608.8</x:v>
      </x:c>
      <x:c r="F178" t="n">
        <x:v>0</x:v>
      </x:c>
      <x:c r="G178" s="25" t="n">
        <x:v>0.078133</x:v>
      </x:c>
      <x:c r="H178" t="n">
        <x:f>IF(G178&lt;$B$6,1,0)</x:f>
        <x:v>1</x:v>
      </x:c>
      <x:c r="I178" s="26" t="n">
        <x:f>H178*IF(F178=0,E178*$B$7,-E178*$B$8)</x:f>
        <x:v>1153.0559999999998</x:v>
      </x:c>
    </x:row>
    <x:row r="179">
      <x:c r="A179" t="n">
        <x:v>4694</x:v>
      </x:c>
      <x:c r="B179" t="str">
        <x:v>2024-07</x:v>
      </x:c>
      <x:c r="C179" t="str">
        <x:v>Salaried</x:v>
      </x:c>
      <x:c r="D179" t="str">
        <x:v>Group A</x:v>
      </x:c>
      <x:c r="E179" s="26" t="n">
        <x:v>16190.44</x:v>
      </x:c>
      <x:c r="F179" t="n">
        <x:v>0</x:v>
      </x:c>
      <x:c r="G179" s="25" t="n">
        <x:v>0.029741</x:v>
      </x:c>
      <x:c r="H179" t="n">
        <x:f>IF(G179&lt;$B$6,1,0)</x:f>
        <x:v>1</x:v>
      </x:c>
      <x:c r="I179" s="26" t="n">
        <x:f>H179*IF(F179=0,E179*$B$7,-E179*$B$8)</x:f>
        <x:v>1942.8528</x:v>
      </x:c>
    </x:row>
    <x:row r="180">
      <x:c r="A180" t="n">
        <x:v>4712</x:v>
      </x:c>
      <x:c r="B180" t="str">
        <x:v>2024-07</x:v>
      </x:c>
      <x:c r="C180" t="str">
        <x:v>Salaried</x:v>
      </x:c>
      <x:c r="D180" t="str">
        <x:v>Group B</x:v>
      </x:c>
      <x:c r="E180" s="26" t="n">
        <x:v>29283.11</x:v>
      </x:c>
      <x:c r="F180" t="n">
        <x:v>1</x:v>
      </x:c>
      <x:c r="G180" s="25" t="n">
        <x:v>0.491332</x:v>
      </x:c>
      <x:c r="H180" t="n">
        <x:f>IF(G180&lt;$B$6,1,0)</x:f>
        <x:v>0</x:v>
      </x:c>
      <x:c r="I180" s="26" t="n">
        <x:f>H180*IF(F180=0,E180*$B$7,-E180*$B$8)</x:f>
        <x:v>0</x:v>
      </x:c>
    </x:row>
    <x:row r="181">
      <x:c r="A181" t="n">
        <x:v>4730</x:v>
      </x:c>
      <x:c r="B181" t="str">
        <x:v>2024-07</x:v>
      </x:c>
      <x:c r="C181" t="str">
        <x:v>Salaried</x:v>
      </x:c>
      <x:c r="D181" t="str">
        <x:v>Group B</x:v>
      </x:c>
      <x:c r="E181" s="26" t="n">
        <x:v>19665.67</x:v>
      </x:c>
      <x:c r="F181" t="n">
        <x:v>0</x:v>
      </x:c>
      <x:c r="G181" s="25" t="n">
        <x:v>0.107248</x:v>
      </x:c>
      <x:c r="H181" t="n">
        <x:f>IF(G181&lt;$B$6,1,0)</x:f>
        <x:v>1</x:v>
      </x:c>
      <x:c r="I181" s="26" t="n">
        <x:f>H181*IF(F181=0,E181*$B$7,-E181*$B$8)</x:f>
        <x:v>2359.8803999999996</x:v>
      </x:c>
    </x:row>
    <x:row r="182">
      <x:c r="A182" t="n">
        <x:v>4736</x:v>
      </x:c>
      <x:c r="B182" t="str">
        <x:v>2024-07</x:v>
      </x:c>
      <x:c r="C182" t="str">
        <x:v>Salaried</x:v>
      </x:c>
      <x:c r="D182" t="str">
        <x:v>Group B</x:v>
      </x:c>
      <x:c r="E182" s="26" t="n">
        <x:v>34805.47</x:v>
      </x:c>
      <x:c r="F182" t="n">
        <x:v>1</x:v>
      </x:c>
      <x:c r="G182" s="25" t="n">
        <x:v>0.305728</x:v>
      </x:c>
      <x:c r="H182" t="n">
        <x:f>IF(G182&lt;$B$6,1,0)</x:f>
        <x:v>0</x:v>
      </x:c>
      <x:c r="I182" s="26" t="n">
        <x:f>H182*IF(F182=0,E182*$B$7,-E182*$B$8)</x:f>
        <x:v>0</x:v>
      </x:c>
    </x:row>
    <x:row r="183">
      <x:c r="A183" t="n">
        <x:v>4786</x:v>
      </x:c>
      <x:c r="B183" t="str">
        <x:v>2024-07</x:v>
      </x:c>
      <x:c r="C183" t="str">
        <x:v>Salaried</x:v>
      </x:c>
      <x:c r="D183" t="str">
        <x:v>Group A</x:v>
      </x:c>
      <x:c r="E183" s="26" t="n">
        <x:v>6530.14</x:v>
      </x:c>
      <x:c r="F183" t="n">
        <x:v>0</x:v>
      </x:c>
      <x:c r="G183" s="25" t="n">
        <x:v>0.153142</x:v>
      </x:c>
      <x:c r="H183" t="n">
        <x:f>IF(G183&lt;$B$6,1,0)</x:f>
        <x:v>1</x:v>
      </x:c>
      <x:c r="I183" s="26" t="n">
        <x:f>H183*IF(F183=0,E183*$B$7,-E183*$B$8)</x:f>
        <x:v>783.6168</x:v>
      </x:c>
    </x:row>
    <x:row r="184">
      <x:c r="A184" t="n">
        <x:v>4817</x:v>
      </x:c>
      <x:c r="B184" t="str">
        <x:v>2024-07</x:v>
      </x:c>
      <x:c r="C184" t="str">
        <x:v>Self employed</x:v>
      </x:c>
      <x:c r="D184" t="str">
        <x:v>Group B</x:v>
      </x:c>
      <x:c r="E184" s="26" t="n">
        <x:v>10508.45</x:v>
      </x:c>
      <x:c r="F184" t="n">
        <x:v>1</x:v>
      </x:c>
      <x:c r="G184" s="25" t="n">
        <x:v>0.159917</x:v>
      </x:c>
      <x:c r="H184" t="n">
        <x:f>IF(G184&lt;$B$6,1,0)</x:f>
        <x:v>1</x:v>
      </x:c>
      <x:c r="I184" s="26" t="n">
        <x:f>H184*IF(F184=0,E184*$B$7,-E184*$B$8)</x:f>
        <x:v>-6830.4925</x:v>
      </x:c>
    </x:row>
    <x:row r="185">
      <x:c r="A185" t="n">
        <x:v>4850</x:v>
      </x:c>
      <x:c r="B185" t="str">
        <x:v>2024-07</x:v>
      </x:c>
      <x:c r="C185" t="str">
        <x:v>Salaried</x:v>
      </x:c>
      <x:c r="D185" t="str">
        <x:v>Group B</x:v>
      </x:c>
      <x:c r="E185" s="26" t="n">
        <x:v>8786.86</x:v>
      </x:c>
      <x:c r="F185" t="n">
        <x:v>1</x:v>
      </x:c>
      <x:c r="G185" s="25" t="n">
        <x:v>0.089002</x:v>
      </x:c>
      <x:c r="H185" t="n">
        <x:f>IF(G185&lt;$B$6,1,0)</x:f>
        <x:v>1</x:v>
      </x:c>
      <x:c r="I185" s="26" t="n">
        <x:f>H185*IF(F185=0,E185*$B$7,-E185*$B$8)</x:f>
        <x:v>-5711.459000000001</x:v>
      </x:c>
    </x:row>
    <x:row r="186">
      <x:c r="A186" t="n">
        <x:v>4854</x:v>
      </x:c>
      <x:c r="B186" t="str">
        <x:v>2024-07</x:v>
      </x:c>
      <x:c r="C186" t="str">
        <x:v>Contract</x:v>
      </x:c>
      <x:c r="D186" t="str">
        <x:v>Group A</x:v>
      </x:c>
      <x:c r="E186" s="26" t="n">
        <x:v>5665.76</x:v>
      </x:c>
      <x:c r="F186" t="n">
        <x:v>0</x:v>
      </x:c>
      <x:c r="G186" s="25" t="n">
        <x:v>0.327134</x:v>
      </x:c>
      <x:c r="H186" t="n">
        <x:f>IF(G186&lt;$B$6,1,0)</x:f>
        <x:v>0</x:v>
      </x:c>
      <x:c r="I186" s="26" t="n">
        <x:f>H186*IF(F186=0,E186*$B$7,-E186*$B$8)</x:f>
        <x:v>0</x:v>
      </x:c>
    </x:row>
    <x:row r="187">
      <x:c r="A187" t="n">
        <x:v>4858</x:v>
      </x:c>
      <x:c r="B187" t="str">
        <x:v>2024-07</x:v>
      </x:c>
      <x:c r="C187" t="str">
        <x:v>Salaried</x:v>
      </x:c>
      <x:c r="D187" t="str">
        <x:v>Group A</x:v>
      </x:c>
      <x:c r="E187" s="26" t="n">
        <x:v>18264.15</x:v>
      </x:c>
      <x:c r="F187" t="n">
        <x:v>1</x:v>
      </x:c>
      <x:c r="G187" s="25" t="n">
        <x:v>0.66081</x:v>
      </x:c>
      <x:c r="H187" t="n">
        <x:f>IF(G187&lt;$B$6,1,0)</x:f>
        <x:v>0</x:v>
      </x:c>
      <x:c r="I187" s="26" t="n">
        <x:f>H187*IF(F187=0,E187*$B$7,-E187*$B$8)</x:f>
        <x:v>0</x:v>
      </x:c>
    </x:row>
    <x:row r="188">
      <x:c r="A188" t="n">
        <x:v>4866</x:v>
      </x:c>
      <x:c r="B188" t="str">
        <x:v>2024-07</x:v>
      </x:c>
      <x:c r="C188" t="str">
        <x:v>Salaried</x:v>
      </x:c>
      <x:c r="D188" t="str">
        <x:v>Group B</x:v>
      </x:c>
      <x:c r="E188" s="26" t="n">
        <x:v>48487.24</x:v>
      </x:c>
      <x:c r="F188" t="n">
        <x:v>1</x:v>
      </x:c>
      <x:c r="G188" s="25" t="n">
        <x:v>0.278127</x:v>
      </x:c>
      <x:c r="H188" t="n">
        <x:f>IF(G188&lt;$B$6,1,0)</x:f>
        <x:v>0</x:v>
      </x:c>
      <x:c r="I188" s="26" t="n">
        <x:f>H188*IF(F188=0,E188*$B$7,-E188*$B$8)</x:f>
        <x:v>0</x:v>
      </x:c>
    </x:row>
    <x:row r="189">
      <x:c r="A189" t="n">
        <x:v>4867</x:v>
      </x:c>
      <x:c r="B189" t="str">
        <x:v>2024-07</x:v>
      </x:c>
      <x:c r="C189" t="str">
        <x:v>Contract</x:v>
      </x:c>
      <x:c r="D189" t="str">
        <x:v>Group A</x:v>
      </x:c>
      <x:c r="E189" s="26" t="n">
        <x:v>11226.5</x:v>
      </x:c>
      <x:c r="F189" t="n">
        <x:v>0</x:v>
      </x:c>
      <x:c r="G189" s="25" t="n">
        <x:v>0.229057</x:v>
      </x:c>
      <x:c r="H189" t="n">
        <x:f>IF(G189&lt;$B$6,1,0)</x:f>
        <x:v>0</x:v>
      </x:c>
      <x:c r="I189" s="26" t="n">
        <x:f>H189*IF(F189=0,E189*$B$7,-E189*$B$8)</x:f>
        <x:v>0</x:v>
      </x:c>
    </x:row>
    <x:row r="190">
      <x:c r="A190" t="n">
        <x:v>4914</x:v>
      </x:c>
      <x:c r="B190" t="str">
        <x:v>2024-07</x:v>
      </x:c>
      <x:c r="C190" t="str">
        <x:v>Salaried</x:v>
      </x:c>
      <x:c r="D190" t="str">
        <x:v>Group B</x:v>
      </x:c>
      <x:c r="E190" s="26" t="n">
        <x:v>24143.22</x:v>
      </x:c>
      <x:c r="F190" t="n">
        <x:v>0</x:v>
      </x:c>
      <x:c r="G190" s="25" t="n">
        <x:v>0.093589</x:v>
      </x:c>
      <x:c r="H190" t="n">
        <x:f>IF(G190&lt;$B$6,1,0)</x:f>
        <x:v>1</x:v>
      </x:c>
      <x:c r="I190" s="26" t="n">
        <x:f>H190*IF(F190=0,E190*$B$7,-E190*$B$8)</x:f>
        <x:v>2897.1864</x:v>
      </x:c>
    </x:row>
    <x:row r="191">
      <x:c r="A191" t="n">
        <x:v>4956</x:v>
      </x:c>
      <x:c r="B191" t="str">
        <x:v>2024-07</x:v>
      </x:c>
      <x:c r="C191" t="str">
        <x:v>Salaried</x:v>
      </x:c>
      <x:c r="D191" t="str">
        <x:v>Group B</x:v>
      </x:c>
      <x:c r="E191" s="26" t="n">
        <x:v>14204.38</x:v>
      </x:c>
      <x:c r="F191" t="n">
        <x:v>1</x:v>
      </x:c>
      <x:c r="G191" s="25" t="n">
        <x:v>0.174823</x:v>
      </x:c>
      <x:c r="H191" t="n">
        <x:f>IF(G191&lt;$B$6,1,0)</x:f>
        <x:v>0</x:v>
      </x:c>
      <x:c r="I191" s="26" t="n">
        <x:f>H191*IF(F191=0,E191*$B$7,-E191*$B$8)</x:f>
        <x:v>0</x:v>
      </x:c>
    </x:row>
    <x:row r="192">
      <x:c r="A192" t="n">
        <x:v>4988</x:v>
      </x:c>
      <x:c r="B192" t="str">
        <x:v>2024-07</x:v>
      </x:c>
      <x:c r="C192" t="str">
        <x:v>Salaried</x:v>
      </x:c>
      <x:c r="D192" t="str">
        <x:v>Group B</x:v>
      </x:c>
      <x:c r="E192" s="26" t="n">
        <x:v>75000</x:v>
      </x:c>
      <x:c r="F192" t="n">
        <x:v>1</x:v>
      </x:c>
      <x:c r="G192" s="25" t="n">
        <x:v>0.440991</x:v>
      </x:c>
      <x:c r="H192" t="n">
        <x:f>IF(G192&lt;$B$6,1,0)</x:f>
        <x:v>0</x:v>
      </x:c>
      <x:c r="I192" s="26" t="n">
        <x:f>H192*IF(F192=0,E192*$B$7,-E192*$B$8)</x:f>
        <x:v>0</x:v>
      </x:c>
    </x:row>
    <x:row r="193">
      <x:c r="A193" t="n">
        <x:v>5032</x:v>
      </x:c>
      <x:c r="B193" t="str">
        <x:v>2024-07</x:v>
      </x:c>
      <x:c r="C193" t="str">
        <x:v>Self employed</x:v>
      </x:c>
      <x:c r="D193" t="str">
        <x:v>Group A</x:v>
      </x:c>
      <x:c r="E193" s="26" t="n">
        <x:v>13450.03</x:v>
      </x:c>
      <x:c r="F193" t="n">
        <x:v>1</x:v>
      </x:c>
      <x:c r="G193" s="25" t="n">
        <x:v>0.182419</x:v>
      </x:c>
      <x:c r="H193" t="n">
        <x:f>IF(G193&lt;$B$6,1,0)</x:f>
        <x:v>0</x:v>
      </x:c>
      <x:c r="I193" s="26" t="n">
        <x:f>H193*IF(F193=0,E193*$B$7,-E193*$B$8)</x:f>
        <x:v>0</x:v>
      </x:c>
    </x:row>
    <x:row r="194">
      <x:c r="A194" t="n">
        <x:v>5042</x:v>
      </x:c>
      <x:c r="B194" t="str">
        <x:v>2024-07</x:v>
      </x:c>
      <x:c r="C194" t="str">
        <x:v>Salaried</x:v>
      </x:c>
      <x:c r="D194" t="str">
        <x:v>Group B</x:v>
      </x:c>
      <x:c r="E194" s="26" t="n">
        <x:v>3636.19</x:v>
      </x:c>
      <x:c r="F194" t="n">
        <x:v>1</x:v>
      </x:c>
      <x:c r="G194" s="25" t="n">
        <x:v>0.051789</x:v>
      </x:c>
      <x:c r="H194" t="n">
        <x:f>IF(G194&lt;$B$6,1,0)</x:f>
        <x:v>1</x:v>
      </x:c>
      <x:c r="I194" s="26" t="n">
        <x:f>H194*IF(F194=0,E194*$B$7,-E194*$B$8)</x:f>
        <x:v>-2363.5235000000002</x:v>
      </x:c>
    </x:row>
    <x:row r="195">
      <x:c r="A195" t="n">
        <x:v>5060</x:v>
      </x:c>
      <x:c r="B195" t="str">
        <x:v>2024-07</x:v>
      </x:c>
      <x:c r="C195" t="str">
        <x:v>Salaried</x:v>
      </x:c>
      <x:c r="D195" t="str">
        <x:v>Group A</x:v>
      </x:c>
      <x:c r="E195" s="26" t="n">
        <x:v>14392.47</x:v>
      </x:c>
      <x:c r="F195" t="n">
        <x:v>0</x:v>
      </x:c>
      <x:c r="G195" s="25" t="n">
        <x:v>0.402182</x:v>
      </x:c>
      <x:c r="H195" t="n">
        <x:f>IF(G195&lt;$B$6,1,0)</x:f>
        <x:v>0</x:v>
      </x:c>
      <x:c r="I195" s="26" t="n">
        <x:f>H195*IF(F195=0,E195*$B$7,-E195*$B$8)</x:f>
        <x:v>0</x:v>
      </x:c>
    </x:row>
    <x:row r="196">
      <x:c r="A196" t="n">
        <x:v>5065</x:v>
      </x:c>
      <x:c r="B196" t="str">
        <x:v>2024-07</x:v>
      </x:c>
      <x:c r="C196" t="str">
        <x:v>Salaried</x:v>
      </x:c>
      <x:c r="D196" t="str">
        <x:v>Group B</x:v>
      </x:c>
      <x:c r="E196" s="26" t="n">
        <x:v>13929.14</x:v>
      </x:c>
      <x:c r="F196" t="n">
        <x:v>1</x:v>
      </x:c>
      <x:c r="G196" s="25" t="n">
        <x:v>0.265323</x:v>
      </x:c>
      <x:c r="H196" t="n">
        <x:f>IF(G196&lt;$B$6,1,0)</x:f>
        <x:v>0</x:v>
      </x:c>
      <x:c r="I196" s="26" t="n">
        <x:f>H196*IF(F196=0,E196*$B$7,-E196*$B$8)</x:f>
        <x:v>0</x:v>
      </x:c>
    </x:row>
    <x:row r="197">
      <x:c r="A197" t="n">
        <x:v>5087</x:v>
      </x:c>
      <x:c r="B197" t="str">
        <x:v>2024-07</x:v>
      </x:c>
      <x:c r="C197" t="str">
        <x:v>Salaried</x:v>
      </x:c>
      <x:c r="D197" t="str">
        <x:v>Group A</x:v>
      </x:c>
      <x:c r="E197" s="26" t="n">
        <x:v>6427.1</x:v>
      </x:c>
      <x:c r="F197" t="n">
        <x:v>0</x:v>
      </x:c>
      <x:c r="G197" s="25" t="n">
        <x:v>0.231415</x:v>
      </x:c>
      <x:c r="H197" t="n">
        <x:f>IF(G197&lt;$B$6,1,0)</x:f>
        <x:v>0</x:v>
      </x:c>
      <x:c r="I197" s="26" t="n">
        <x:f>H197*IF(F197=0,E197*$B$7,-E197*$B$8)</x:f>
        <x:v>0</x:v>
      </x:c>
    </x:row>
    <x:row r="198">
      <x:c r="A198" t="n">
        <x:v>5088</x:v>
      </x:c>
      <x:c r="B198" t="str">
        <x:v>2024-07</x:v>
      </x:c>
      <x:c r="C198" t="str">
        <x:v>Self employed</x:v>
      </x:c>
      <x:c r="D198" t="str">
        <x:v>Group A</x:v>
      </x:c>
      <x:c r="E198" s="26" t="n">
        <x:v>20386.52</x:v>
      </x:c>
      <x:c r="F198" t="n">
        <x:v>1</x:v>
      </x:c>
      <x:c r="G198" s="25" t="n">
        <x:v>0.469851</x:v>
      </x:c>
      <x:c r="H198" t="n">
        <x:f>IF(G198&lt;$B$6,1,0)</x:f>
        <x:v>0</x:v>
      </x:c>
      <x:c r="I198" s="26" t="n">
        <x:f>H198*IF(F198=0,E198*$B$7,-E198*$B$8)</x:f>
        <x:v>0</x:v>
      </x:c>
    </x:row>
    <x:row r="199">
      <x:c r="A199" t="n">
        <x:v>5101</x:v>
      </x:c>
      <x:c r="B199" t="str">
        <x:v>2024-07</x:v>
      </x:c>
      <x:c r="C199" t="str">
        <x:v>Self employed</x:v>
      </x:c>
      <x:c r="D199" t="str">
        <x:v>Group B</x:v>
      </x:c>
      <x:c r="E199" s="26" t="n">
        <x:v>8107.87</x:v>
      </x:c>
      <x:c r="F199" t="n">
        <x:v>0</x:v>
      </x:c>
      <x:c r="G199" s="25" t="n">
        <x:v>0.25393</x:v>
      </x:c>
      <x:c r="H199" t="n">
        <x:f>IF(G199&lt;$B$6,1,0)</x:f>
        <x:v>0</x:v>
      </x:c>
      <x:c r="I199" s="26" t="n">
        <x:f>H199*IF(F199=0,E199*$B$7,-E199*$B$8)</x:f>
        <x:v>0</x:v>
      </x:c>
    </x:row>
    <x:row r="200">
      <x:c r="A200" t="n">
        <x:v>5134</x:v>
      </x:c>
      <x:c r="B200" t="str">
        <x:v>2024-07</x:v>
      </x:c>
      <x:c r="C200" t="str">
        <x:v>Salaried</x:v>
      </x:c>
      <x:c r="D200" t="str">
        <x:v>Group A</x:v>
      </x:c>
      <x:c r="E200" s="26" t="n">
        <x:v>8017.57</x:v>
      </x:c>
      <x:c r="F200" t="n">
        <x:v>0</x:v>
      </x:c>
      <x:c r="G200" s="25" t="n">
        <x:v>0.116118</x:v>
      </x:c>
      <x:c r="H200" t="n">
        <x:f>IF(G200&lt;$B$6,1,0)</x:f>
        <x:v>1</x:v>
      </x:c>
      <x:c r="I200" s="26" t="n">
        <x:f>H200*IF(F200=0,E200*$B$7,-E200*$B$8)</x:f>
        <x:v>962.1084</x:v>
      </x:c>
    </x:row>
    <x:row r="201">
      <x:c r="A201" t="n">
        <x:v>5142</x:v>
      </x:c>
      <x:c r="B201" t="str">
        <x:v>2024-07</x:v>
      </x:c>
      <x:c r="C201" t="str">
        <x:v>Salaried</x:v>
      </x:c>
      <x:c r="D201" t="str">
        <x:v>Group A</x:v>
      </x:c>
      <x:c r="E201" s="26" t="n">
        <x:v>10018.83</x:v>
      </x:c>
      <x:c r="F201" t="n">
        <x:v>0</x:v>
      </x:c>
      <x:c r="G201" s="25" t="n">
        <x:v>0.056192</x:v>
      </x:c>
      <x:c r="H201" t="n">
        <x:f>IF(G201&lt;$B$6,1,0)</x:f>
        <x:v>1</x:v>
      </x:c>
      <x:c r="I201" s="26" t="n">
        <x:f>H201*IF(F201=0,E201*$B$7,-E201*$B$8)</x:f>
        <x:v>1202.2595999999999</x:v>
      </x:c>
    </x:row>
    <x:row r="202">
      <x:c r="A202" t="n">
        <x:v>5145</x:v>
      </x:c>
      <x:c r="B202" t="str">
        <x:v>2024-07</x:v>
      </x:c>
      <x:c r="C202" t="str">
        <x:v>Contract</x:v>
      </x:c>
      <x:c r="D202" t="str">
        <x:v>Group A</x:v>
      </x:c>
      <x:c r="E202" s="26" t="n">
        <x:v>17720.54</x:v>
      </x:c>
      <x:c r="F202" t="n">
        <x:v>0</x:v>
      </x:c>
      <x:c r="G202" s="25" t="n">
        <x:v>0.321383</x:v>
      </x:c>
      <x:c r="H202" t="n">
        <x:f>IF(G202&lt;$B$6,1,0)</x:f>
        <x:v>0</x:v>
      </x:c>
      <x:c r="I202" s="26" t="n">
        <x:f>H202*IF(F202=0,E202*$B$7,-E202*$B$8)</x:f>
        <x:v>0</x:v>
      </x:c>
    </x:row>
    <x:row r="203">
      <x:c r="A203" t="n">
        <x:v>5183</x:v>
      </x:c>
      <x:c r="B203" t="str">
        <x:v>2024-07</x:v>
      </x:c>
      <x:c r="C203" t="str">
        <x:v>Self employed</x:v>
      </x:c>
      <x:c r="D203" t="str">
        <x:v>Group A</x:v>
      </x:c>
      <x:c r="E203" s="26" t="n">
        <x:v>16231.12</x:v>
      </x:c>
      <x:c r="F203" t="n">
        <x:v>1</x:v>
      </x:c>
      <x:c r="G203" s="25" t="n">
        <x:v>0.172714</x:v>
      </x:c>
      <x:c r="H203" t="n">
        <x:f>IF(G203&lt;$B$6,1,0)</x:f>
        <x:v>0</x:v>
      </x:c>
      <x:c r="I203" s="26" t="n">
        <x:f>H203*IF(F203=0,E203*$B$7,-E203*$B$8)</x:f>
        <x:v>0</x:v>
      </x:c>
    </x:row>
    <x:row r="204">
      <x:c r="A204" t="n">
        <x:v>5184</x:v>
      </x:c>
      <x:c r="B204" t="str">
        <x:v>2024-07</x:v>
      </x:c>
      <x:c r="C204" t="str">
        <x:v>Salaried</x:v>
      </x:c>
      <x:c r="D204" t="str">
        <x:v>Group A</x:v>
      </x:c>
      <x:c r="E204" s="26" t="n">
        <x:v>13805.07</x:v>
      </x:c>
      <x:c r="F204" t="n">
        <x:v>0</x:v>
      </x:c>
      <x:c r="G204" s="25" t="n">
        <x:v>0.136012</x:v>
      </x:c>
      <x:c r="H204" t="n">
        <x:f>IF(G204&lt;$B$6,1,0)</x:f>
        <x:v>1</x:v>
      </x:c>
      <x:c r="I204" s="26" t="n">
        <x:f>H204*IF(F204=0,E204*$B$7,-E204*$B$8)</x:f>
        <x:v>1656.6083999999998</x:v>
      </x:c>
    </x:row>
    <x:row r="205">
      <x:c r="A205" t="n">
        <x:v>5223</x:v>
      </x:c>
      <x:c r="B205" t="str">
        <x:v>2024-07</x:v>
      </x:c>
      <x:c r="C205" t="str">
        <x:v>Salaried</x:v>
      </x:c>
      <x:c r="D205" t="str">
        <x:v>Group A</x:v>
      </x:c>
      <x:c r="E205" s="26" t="n">
        <x:v>3879.24</x:v>
      </x:c>
      <x:c r="F205" t="n">
        <x:v>0</x:v>
      </x:c>
      <x:c r="G205" s="25" t="n">
        <x:v>0.079573</x:v>
      </x:c>
      <x:c r="H205" t="n">
        <x:f>IF(G205&lt;$B$6,1,0)</x:f>
        <x:v>1</x:v>
      </x:c>
      <x:c r="I205" s="26" t="n">
        <x:f>H205*IF(F205=0,E205*$B$7,-E205*$B$8)</x:f>
        <x:v>465.50879999999995</x:v>
      </x:c>
    </x:row>
    <x:row r="206">
      <x:c r="A206" t="n">
        <x:v>5287</x:v>
      </x:c>
      <x:c r="B206" t="str">
        <x:v>2024-07</x:v>
      </x:c>
      <x:c r="C206" t="str">
        <x:v>Salaried</x:v>
      </x:c>
      <x:c r="D206" t="str">
        <x:v>Group A</x:v>
      </x:c>
      <x:c r="E206" s="26" t="n">
        <x:v>15010.51</x:v>
      </x:c>
      <x:c r="F206" t="n">
        <x:v>0</x:v>
      </x:c>
      <x:c r="G206" s="25" t="n">
        <x:v>0.210949</x:v>
      </x:c>
      <x:c r="H206" t="n">
        <x:f>IF(G206&lt;$B$6,1,0)</x:f>
        <x:v>0</x:v>
      </x:c>
      <x:c r="I206" s="26" t="n">
        <x:f>H206*IF(F206=0,E206*$B$7,-E206*$B$8)</x:f>
        <x:v>0</x:v>
      </x:c>
    </x:row>
    <x:row r="207">
      <x:c r="A207" t="n">
        <x:v>5321</x:v>
      </x:c>
      <x:c r="B207" t="str">
        <x:v>2024-07</x:v>
      </x:c>
      <x:c r="C207" t="str">
        <x:v>Salaried</x:v>
      </x:c>
      <x:c r="D207" t="str">
        <x:v>Group A</x:v>
      </x:c>
      <x:c r="E207" s="26" t="n">
        <x:v>8678.03</x:v>
      </x:c>
      <x:c r="F207" t="n">
        <x:v>0</x:v>
      </x:c>
      <x:c r="G207" s="25" t="n">
        <x:v>0.081466</x:v>
      </x:c>
      <x:c r="H207" t="n">
        <x:f>IF(G207&lt;$B$6,1,0)</x:f>
        <x:v>1</x:v>
      </x:c>
      <x:c r="I207" s="26" t="n">
        <x:f>H207*IF(F207=0,E207*$B$7,-E207*$B$8)</x:f>
        <x:v>1041.3636000000001</x:v>
      </x:c>
    </x:row>
    <x:row r="208">
      <x:c r="A208" t="n">
        <x:v>5322</x:v>
      </x:c>
      <x:c r="B208" t="str">
        <x:v>2024-07</x:v>
      </x:c>
      <x:c r="C208" t="str">
        <x:v>Self employed</x:v>
      </x:c>
      <x:c r="D208" t="str">
        <x:v>Group A</x:v>
      </x:c>
      <x:c r="E208" s="26" t="n">
        <x:v>10797.38</x:v>
      </x:c>
      <x:c r="F208" t="n">
        <x:v>0</x:v>
      </x:c>
      <x:c r="G208" s="25" t="n">
        <x:v>0.049851</x:v>
      </x:c>
      <x:c r="H208" t="n">
        <x:f>IF(G208&lt;$B$6,1,0)</x:f>
        <x:v>1</x:v>
      </x:c>
      <x:c r="I208" s="26" t="n">
        <x:f>H208*IF(F208=0,E208*$B$7,-E208*$B$8)</x:f>
        <x:v>1295.6855999999998</x:v>
      </x:c>
    </x:row>
    <x:row r="209">
      <x:c r="A209" t="n">
        <x:v>5352</x:v>
      </x:c>
      <x:c r="B209" t="str">
        <x:v>2024-07</x:v>
      </x:c>
      <x:c r="C209" t="str">
        <x:v>Self employed</x:v>
      </x:c>
      <x:c r="D209" t="str">
        <x:v>Group A</x:v>
      </x:c>
      <x:c r="E209" s="26" t="n">
        <x:v>16142.77</x:v>
      </x:c>
      <x:c r="F209" t="n">
        <x:v>0</x:v>
      </x:c>
      <x:c r="G209" s="25" t="n">
        <x:v>0.377616</x:v>
      </x:c>
      <x:c r="H209" t="n">
        <x:f>IF(G209&lt;$B$6,1,0)</x:f>
        <x:v>0</x:v>
      </x:c>
      <x:c r="I209" s="26" t="n">
        <x:f>H209*IF(F209=0,E209*$B$7,-E209*$B$8)</x:f>
        <x:v>0</x:v>
      </x:c>
    </x:row>
    <x:row r="210">
      <x:c r="A210" t="n">
        <x:v>5376</x:v>
      </x:c>
      <x:c r="B210" t="str">
        <x:v>2024-07</x:v>
      </x:c>
      <x:c r="C210" t="str">
        <x:v>Salaried</x:v>
      </x:c>
      <x:c r="D210" t="str">
        <x:v>Group A</x:v>
      </x:c>
      <x:c r="E210" s="26" t="n">
        <x:v>10947.61</x:v>
      </x:c>
      <x:c r="F210" t="n">
        <x:v>0</x:v>
      </x:c>
      <x:c r="G210" s="25" t="n">
        <x:v>0.12909</x:v>
      </x:c>
      <x:c r="H210" t="n">
        <x:f>IF(G210&lt;$B$6,1,0)</x:f>
        <x:v>1</x:v>
      </x:c>
      <x:c r="I210" s="26" t="n">
        <x:f>H210*IF(F210=0,E210*$B$7,-E210*$B$8)</x:f>
        <x:v>1313.7132</x:v>
      </x:c>
    </x:row>
    <x:row r="211">
      <x:c r="A211" t="n">
        <x:v>5385</x:v>
      </x:c>
      <x:c r="B211" t="str">
        <x:v>2024-07</x:v>
      </x:c>
      <x:c r="C211" t="str">
        <x:v>Contract</x:v>
      </x:c>
      <x:c r="D211" t="str">
        <x:v>Group B</x:v>
      </x:c>
      <x:c r="E211" s="26" t="n">
        <x:v>8850.73</x:v>
      </x:c>
      <x:c r="F211" t="n">
        <x:v>1</x:v>
      </x:c>
      <x:c r="G211" s="25" t="n">
        <x:v>0.231735</x:v>
      </x:c>
      <x:c r="H211" t="n">
        <x:f>IF(G211&lt;$B$6,1,0)</x:f>
        <x:v>0</x:v>
      </x:c>
      <x:c r="I211" s="26" t="n">
        <x:f>H211*IF(F211=0,E211*$B$7,-E211*$B$8)</x:f>
        <x:v>0</x:v>
      </x:c>
    </x:row>
    <x:row r="212">
      <x:c r="A212" t="n">
        <x:v>5403</x:v>
      </x:c>
      <x:c r="B212" t="str">
        <x:v>2024-07</x:v>
      </x:c>
      <x:c r="C212" t="str">
        <x:v>Salaried</x:v>
      </x:c>
      <x:c r="D212" t="str">
        <x:v>Group B</x:v>
      </x:c>
      <x:c r="E212" s="26" t="n">
        <x:v>8333.23</x:v>
      </x:c>
      <x:c r="F212" t="n">
        <x:v>0</x:v>
      </x:c>
      <x:c r="G212" s="25" t="n">
        <x:v>0.115142</x:v>
      </x:c>
      <x:c r="H212" t="n">
        <x:f>IF(G212&lt;$B$6,1,0)</x:f>
        <x:v>1</x:v>
      </x:c>
      <x:c r="I212" s="26" t="n">
        <x:f>H212*IF(F212=0,E212*$B$7,-E212*$B$8)</x:f>
        <x:v>999.9875999999999</x:v>
      </x:c>
    </x:row>
    <x:row r="213">
      <x:c r="A213" t="n">
        <x:v>5421</x:v>
      </x:c>
      <x:c r="B213" t="str">
        <x:v>2024-07</x:v>
      </x:c>
      <x:c r="C213" t="str">
        <x:v>Salaried</x:v>
      </x:c>
      <x:c r="D213" t="str">
        <x:v>Group B</x:v>
      </x:c>
      <x:c r="E213" s="26" t="n">
        <x:v>19970.33</x:v>
      </x:c>
      <x:c r="F213" t="n">
        <x:v>1</x:v>
      </x:c>
      <x:c r="G213" s="25" t="n">
        <x:v>0.708599</x:v>
      </x:c>
      <x:c r="H213" t="n">
        <x:f>IF(G213&lt;$B$6,1,0)</x:f>
        <x:v>0</x:v>
      </x:c>
      <x:c r="I213" s="26" t="n">
        <x:f>H213*IF(F213=0,E213*$B$7,-E213*$B$8)</x:f>
        <x:v>0</x:v>
      </x:c>
    </x:row>
    <x:row r="214">
      <x:c r="A214" t="n">
        <x:v>5431</x:v>
      </x:c>
      <x:c r="B214" t="str">
        <x:v>2024-07</x:v>
      </x:c>
      <x:c r="C214" t="str">
        <x:v>Salaried</x:v>
      </x:c>
      <x:c r="D214" t="str">
        <x:v>Group A</x:v>
      </x:c>
      <x:c r="E214" s="26" t="n">
        <x:v>40489.53</x:v>
      </x:c>
      <x:c r="F214" t="n">
        <x:v>0</x:v>
      </x:c>
      <x:c r="G214" s="25" t="n">
        <x:v>0.270294</x:v>
      </x:c>
      <x:c r="H214" t="n">
        <x:f>IF(G214&lt;$B$6,1,0)</x:f>
        <x:v>0</x:v>
      </x:c>
      <x:c r="I214" s="26" t="n">
        <x:f>H214*IF(F214=0,E214*$B$7,-E214*$B$8)</x:f>
        <x:v>0</x:v>
      </x:c>
    </x:row>
    <x:row r="215">
      <x:c r="A215" t="n">
        <x:v>5465</x:v>
      </x:c>
      <x:c r="B215" t="str">
        <x:v>2024-07</x:v>
      </x:c>
      <x:c r="C215" t="str">
        <x:v>Self employed</x:v>
      </x:c>
      <x:c r="D215" t="str">
        <x:v>Group B</x:v>
      </x:c>
      <x:c r="E215" s="26" t="n">
        <x:v>11231.39</x:v>
      </x:c>
      <x:c r="F215" t="n">
        <x:v>0</x:v>
      </x:c>
      <x:c r="G215" s="25" t="n">
        <x:v>0.30547</x:v>
      </x:c>
      <x:c r="H215" t="n">
        <x:f>IF(G215&lt;$B$6,1,0)</x:f>
        <x:v>0</x:v>
      </x:c>
      <x:c r="I215" s="26" t="n">
        <x:f>H215*IF(F215=0,E215*$B$7,-E215*$B$8)</x:f>
        <x:v>0</x:v>
      </x:c>
    </x:row>
    <x:row r="216">
      <x:c r="A216" t="n">
        <x:v>5468</x:v>
      </x:c>
      <x:c r="B216" t="str">
        <x:v>2024-07</x:v>
      </x:c>
      <x:c r="C216" t="str">
        <x:v>Salaried</x:v>
      </x:c>
      <x:c r="D216" t="str">
        <x:v>Group A</x:v>
      </x:c>
      <x:c r="E216" s="26" t="n">
        <x:v>8934.99</x:v>
      </x:c>
      <x:c r="F216" t="n">
        <x:v>0</x:v>
      </x:c>
      <x:c r="G216" s="25" t="n">
        <x:v>0.195048</x:v>
      </x:c>
      <x:c r="H216" t="n">
        <x:f>IF(G216&lt;$B$6,1,0)</x:f>
        <x:v>0</x:v>
      </x:c>
      <x:c r="I216" s="26" t="n">
        <x:f>H216*IF(F216=0,E216*$B$7,-E216*$B$8)</x:f>
        <x:v>0</x:v>
      </x:c>
    </x:row>
    <x:row r="217">
      <x:c r="A217" t="n">
        <x:v>5504</x:v>
      </x:c>
      <x:c r="B217" t="str">
        <x:v>2024-07</x:v>
      </x:c>
      <x:c r="C217" t="str">
        <x:v>Self employed</x:v>
      </x:c>
      <x:c r="D217" t="str">
        <x:v>Group B</x:v>
      </x:c>
      <x:c r="E217" s="26" t="n">
        <x:v>13699.82</x:v>
      </x:c>
      <x:c r="F217" t="n">
        <x:v>1</x:v>
      </x:c>
      <x:c r="G217" s="25" t="n">
        <x:v>0.272317</x:v>
      </x:c>
      <x:c r="H217" t="n">
        <x:f>IF(G217&lt;$B$6,1,0)</x:f>
        <x:v>0</x:v>
      </x:c>
      <x:c r="I217" s="26" t="n">
        <x:f>H217*IF(F217=0,E217*$B$7,-E217*$B$8)</x:f>
        <x:v>0</x:v>
      </x:c>
    </x:row>
    <x:row r="218">
      <x:c r="A218" t="n">
        <x:v>5560</x:v>
      </x:c>
      <x:c r="B218" t="str">
        <x:v>2024-07</x:v>
      </x:c>
      <x:c r="C218" t="str">
        <x:v>Salaried</x:v>
      </x:c>
      <x:c r="D218" t="str">
        <x:v>Group B</x:v>
      </x:c>
      <x:c r="E218" s="26" t="n">
        <x:v>10867.94</x:v>
      </x:c>
      <x:c r="F218" t="n">
        <x:v>0</x:v>
      </x:c>
      <x:c r="G218" s="25" t="n">
        <x:v>0.335428</x:v>
      </x:c>
      <x:c r="H218" t="n">
        <x:f>IF(G218&lt;$B$6,1,0)</x:f>
        <x:v>0</x:v>
      </x:c>
      <x:c r="I218" s="26" t="n">
        <x:f>H218*IF(F218=0,E218*$B$7,-E218*$B$8)</x:f>
        <x:v>0</x:v>
      </x:c>
    </x:row>
    <x:row r="219">
      <x:c r="A219" t="n">
        <x:v>5574</x:v>
      </x:c>
      <x:c r="B219" t="str">
        <x:v>2024-07</x:v>
      </x:c>
      <x:c r="C219" t="str">
        <x:v>Contract</x:v>
      </x:c>
      <x:c r="D219" t="str">
        <x:v>Group A</x:v>
      </x:c>
      <x:c r="E219" s="26" t="n">
        <x:v>21015.26</x:v>
      </x:c>
      <x:c r="F219" t="n">
        <x:v>1</x:v>
      </x:c>
      <x:c r="G219" s="25" t="n">
        <x:v>0.293964</x:v>
      </x:c>
      <x:c r="H219" t="n">
        <x:f>IF(G219&lt;$B$6,1,0)</x:f>
        <x:v>0</x:v>
      </x:c>
      <x:c r="I219" s="26" t="n">
        <x:f>H219*IF(F219=0,E219*$B$7,-E219*$B$8)</x:f>
        <x:v>0</x:v>
      </x:c>
    </x:row>
    <x:row r="220">
      <x:c r="A220" t="n">
        <x:v>5589</x:v>
      </x:c>
      <x:c r="B220" t="str">
        <x:v>2024-07</x:v>
      </x:c>
      <x:c r="C220" t="str">
        <x:v>Self employed</x:v>
      </x:c>
      <x:c r="D220" t="str">
        <x:v>Group A</x:v>
      </x:c>
      <x:c r="E220" s="26" t="n">
        <x:v>6732.49</x:v>
      </x:c>
      <x:c r="F220" t="n">
        <x:v>1</x:v>
      </x:c>
      <x:c r="G220" s="25" t="n">
        <x:v>0.050468</x:v>
      </x:c>
      <x:c r="H220" t="n">
        <x:f>IF(G220&lt;$B$6,1,0)</x:f>
        <x:v>1</x:v>
      </x:c>
      <x:c r="I220" s="26" t="n">
        <x:f>H220*IF(F220=0,E220*$B$7,-E220*$B$8)</x:f>
        <x:v>-4376.1185</x:v>
      </x:c>
    </x:row>
    <x:row r="221">
      <x:c r="A221" t="n">
        <x:v>5596</x:v>
      </x:c>
      <x:c r="B221" t="str">
        <x:v>2024-07</x:v>
      </x:c>
      <x:c r="C221" t="str">
        <x:v>Salaried</x:v>
      </x:c>
      <x:c r="D221" t="str">
        <x:v>Group A</x:v>
      </x:c>
      <x:c r="E221" s="26" t="n">
        <x:v>36936.13</x:v>
      </x:c>
      <x:c r="F221" t="n">
        <x:v>0</x:v>
      </x:c>
      <x:c r="G221" s="25" t="n">
        <x:v>0.436866</x:v>
      </x:c>
      <x:c r="H221" t="n">
        <x:f>IF(G221&lt;$B$6,1,0)</x:f>
        <x:v>0</x:v>
      </x:c>
      <x:c r="I221" s="26" t="n">
        <x:f>H221*IF(F221=0,E221*$B$7,-E221*$B$8)</x:f>
        <x:v>0</x:v>
      </x:c>
    </x:row>
    <x:row r="222">
      <x:c r="A222" t="n">
        <x:v>5636</x:v>
      </x:c>
      <x:c r="B222" t="str">
        <x:v>2024-07</x:v>
      </x:c>
      <x:c r="C222" t="str">
        <x:v>Salaried</x:v>
      </x:c>
      <x:c r="D222" t="str">
        <x:v>Group B</x:v>
      </x:c>
      <x:c r="E222" s="26" t="n">
        <x:v>9547.25</x:v>
      </x:c>
      <x:c r="F222" t="n">
        <x:v>0</x:v>
      </x:c>
      <x:c r="G222" s="25" t="n">
        <x:v>0.14522</x:v>
      </x:c>
      <x:c r="H222" t="n">
        <x:f>IF(G222&lt;$B$6,1,0)</x:f>
        <x:v>1</x:v>
      </x:c>
      <x:c r="I222" s="26" t="n">
        <x:f>H222*IF(F222=0,E222*$B$7,-E222*$B$8)</x:f>
        <x:v>1145.6699999999998</x:v>
      </x:c>
    </x:row>
    <x:row r="223">
      <x:c r="A223" t="n">
        <x:v>5637</x:v>
      </x:c>
      <x:c r="B223" t="str">
        <x:v>2024-07</x:v>
      </x:c>
      <x:c r="C223" t="str">
        <x:v>Self employed</x:v>
      </x:c>
      <x:c r="D223" t="str">
        <x:v>Group B</x:v>
      </x:c>
      <x:c r="E223" s="26" t="n">
        <x:v>7303.13</x:v>
      </x:c>
      <x:c r="F223" t="n">
        <x:v>0</x:v>
      </x:c>
      <x:c r="G223" s="25" t="n">
        <x:v>0.098554</x:v>
      </x:c>
      <x:c r="H223" t="n">
        <x:f>IF(G223&lt;$B$6,1,0)</x:f>
        <x:v>1</x:v>
      </x:c>
      <x:c r="I223" s="26" t="n">
        <x:f>H223*IF(F223=0,E223*$B$7,-E223*$B$8)</x:f>
        <x:v>876.3756</x:v>
      </x:c>
    </x:row>
    <x:row r="224">
      <x:c r="A224" t="n">
        <x:v>5653</x:v>
      </x:c>
      <x:c r="B224" t="str">
        <x:v>2024-07</x:v>
      </x:c>
      <x:c r="C224" t="str">
        <x:v>Salaried</x:v>
      </x:c>
      <x:c r="D224" t="str">
        <x:v>Group A</x:v>
      </x:c>
      <x:c r="E224" s="26" t="n">
        <x:v>12041.94</x:v>
      </x:c>
      <x:c r="F224" t="n">
        <x:v>1</x:v>
      </x:c>
      <x:c r="G224" s="25" t="n">
        <x:v>0.119568</x:v>
      </x:c>
      <x:c r="H224" t="n">
        <x:f>IF(G224&lt;$B$6,1,0)</x:f>
        <x:v>1</x:v>
      </x:c>
      <x:c r="I224" s="26" t="n">
        <x:f>H224*IF(F224=0,E224*$B$7,-E224*$B$8)</x:f>
        <x:v>-7827.261</x:v>
      </x:c>
    </x:row>
    <x:row r="225">
      <x:c r="A225" t="n">
        <x:v>5656</x:v>
      </x:c>
      <x:c r="B225" t="str">
        <x:v>2024-07</x:v>
      </x:c>
      <x:c r="C225" t="str">
        <x:v>Contract</x:v>
      </x:c>
      <x:c r="D225" t="str">
        <x:v>Group A</x:v>
      </x:c>
      <x:c r="E225" s="26" t="n">
        <x:v>13074.86</x:v>
      </x:c>
      <x:c r="F225" t="n">
        <x:v>0</x:v>
      </x:c>
      <x:c r="G225" s="25" t="n">
        <x:v>0.228857</x:v>
      </x:c>
      <x:c r="H225" t="n">
        <x:f>IF(G225&lt;$B$6,1,0)</x:f>
        <x:v>0</x:v>
      </x:c>
      <x:c r="I225" s="26" t="n">
        <x:f>H225*IF(F225=0,E225*$B$7,-E225*$B$8)</x:f>
        <x:v>0</x:v>
      </x:c>
    </x:row>
    <x:row r="226">
      <x:c r="A226" t="n">
        <x:v>5713</x:v>
      </x:c>
      <x:c r="B226" t="str">
        <x:v>2024-07</x:v>
      </x:c>
      <x:c r="C226" t="str">
        <x:v>Salaried</x:v>
      </x:c>
      <x:c r="D226" t="str">
        <x:v>Group A</x:v>
      </x:c>
      <x:c r="E226" s="26" t="n">
        <x:v>55760.17</x:v>
      </x:c>
      <x:c r="F226" t="n">
        <x:v>0</x:v>
      </x:c>
      <x:c r="G226" s="25" t="n">
        <x:v>0.465534</x:v>
      </x:c>
      <x:c r="H226" t="n">
        <x:f>IF(G226&lt;$B$6,1,0)</x:f>
        <x:v>0</x:v>
      </x:c>
      <x:c r="I226" s="26" t="n">
        <x:f>H226*IF(F226=0,E226*$B$7,-E226*$B$8)</x:f>
        <x:v>0</x:v>
      </x:c>
    </x:row>
    <x:row r="227">
      <x:c r="A227" t="n">
        <x:v>5738</x:v>
      </x:c>
      <x:c r="B227" t="str">
        <x:v>2024-07</x:v>
      </x:c>
      <x:c r="C227" t="str">
        <x:v>Salaried</x:v>
      </x:c>
      <x:c r="D227" t="str">
        <x:v>Group B</x:v>
      </x:c>
      <x:c r="E227" s="26" t="n">
        <x:v>24666.58</x:v>
      </x:c>
      <x:c r="F227" t="n">
        <x:v>0</x:v>
      </x:c>
      <x:c r="G227" s="25" t="n">
        <x:v>0.096239</x:v>
      </x:c>
      <x:c r="H227" t="n">
        <x:f>IF(G227&lt;$B$6,1,0)</x:f>
        <x:v>1</x:v>
      </x:c>
      <x:c r="I227" s="26" t="n">
        <x:f>H227*IF(F227=0,E227*$B$7,-E227*$B$8)</x:f>
        <x:v>2959.9896</x:v>
      </x:c>
    </x:row>
    <x:row r="228">
      <x:c r="A228" t="n">
        <x:v>5760</x:v>
      </x:c>
      <x:c r="B228" t="str">
        <x:v>2024-07</x:v>
      </x:c>
      <x:c r="C228" t="str">
        <x:v>Self employed</x:v>
      </x:c>
      <x:c r="D228" t="str">
        <x:v>Group A</x:v>
      </x:c>
      <x:c r="E228" s="26" t="n">
        <x:v>21300.12</x:v>
      </x:c>
      <x:c r="F228" t="n">
        <x:v>0</x:v>
      </x:c>
      <x:c r="G228" s="25" t="n">
        <x:v>0.247629</x:v>
      </x:c>
      <x:c r="H228" t="n">
        <x:f>IF(G228&lt;$B$6,1,0)</x:f>
        <x:v>0</x:v>
      </x:c>
      <x:c r="I228" s="26" t="n">
        <x:f>H228*IF(F228=0,E228*$B$7,-E228*$B$8)</x:f>
        <x:v>0</x:v>
      </x:c>
    </x:row>
    <x:row r="229">
      <x:c r="A229" t="n">
        <x:v>5813</x:v>
      </x:c>
      <x:c r="B229" t="str">
        <x:v>2024-07</x:v>
      </x:c>
      <x:c r="C229" t="str">
        <x:v>Salaried</x:v>
      </x:c>
      <x:c r="D229" t="str">
        <x:v>Group B</x:v>
      </x:c>
      <x:c r="E229" s="26" t="n">
        <x:v>26271.62</x:v>
      </x:c>
      <x:c r="F229" t="n">
        <x:v>0</x:v>
      </x:c>
      <x:c r="G229" s="25" t="n">
        <x:v>0.267986</x:v>
      </x:c>
      <x:c r="H229" t="n">
        <x:f>IF(G229&lt;$B$6,1,0)</x:f>
        <x:v>0</x:v>
      </x:c>
      <x:c r="I229" s="26" t="n">
        <x:f>H229*IF(F229=0,E229*$B$7,-E229*$B$8)</x:f>
        <x:v>0</x:v>
      </x:c>
    </x:row>
    <x:row r="230">
      <x:c r="A230" t="n">
        <x:v>5832</x:v>
      </x:c>
      <x:c r="B230" t="str">
        <x:v>2024-07</x:v>
      </x:c>
      <x:c r="C230" t="str">
        <x:v>Salaried</x:v>
      </x:c>
      <x:c r="D230" t="str">
        <x:v>Group A</x:v>
      </x:c>
      <x:c r="E230" s="26" t="n">
        <x:v>8895.8</x:v>
      </x:c>
      <x:c r="F230" t="n">
        <x:v>0</x:v>
      </x:c>
      <x:c r="G230" s="25" t="n">
        <x:v>0.179222</x:v>
      </x:c>
      <x:c r="H230" t="n">
        <x:f>IF(G230&lt;$B$6,1,0)</x:f>
        <x:v>0</x:v>
      </x:c>
      <x:c r="I230" s="26" t="n">
        <x:f>H230*IF(F230=0,E230*$B$7,-E230*$B$8)</x:f>
        <x:v>0</x:v>
      </x:c>
    </x:row>
    <x:row r="231">
      <x:c r="A231" t="n">
        <x:v>5837</x:v>
      </x:c>
      <x:c r="B231" t="str">
        <x:v>2024-07</x:v>
      </x:c>
      <x:c r="C231" t="str">
        <x:v>Self employed</x:v>
      </x:c>
      <x:c r="D231" t="str">
        <x:v>Group B</x:v>
      </x:c>
      <x:c r="E231" s="26" t="n">
        <x:v>28341.32</x:v>
      </x:c>
      <x:c r="F231" t="n">
        <x:v>0</x:v>
      </x:c>
      <x:c r="G231" s="25" t="n">
        <x:v>0.079666</x:v>
      </x:c>
      <x:c r="H231" t="n">
        <x:f>IF(G231&lt;$B$6,1,0)</x:f>
        <x:v>1</x:v>
      </x:c>
      <x:c r="I231" s="26" t="n">
        <x:f>H231*IF(F231=0,E231*$B$7,-E231*$B$8)</x:f>
        <x:v>3400.9584</x:v>
      </x:c>
    </x:row>
    <x:row r="232">
      <x:c r="A232" t="n">
        <x:v>5848</x:v>
      </x:c>
      <x:c r="B232" t="str">
        <x:v>2024-07</x:v>
      </x:c>
      <x:c r="C232" t="str">
        <x:v>Salaried</x:v>
      </x:c>
      <x:c r="D232" t="str">
        <x:v>Group A</x:v>
      </x:c>
      <x:c r="E232" s="26" t="n">
        <x:v>11433.99</x:v>
      </x:c>
      <x:c r="F232" t="n">
        <x:v>0</x:v>
      </x:c>
      <x:c r="G232" s="25" t="n">
        <x:v>0.031105</x:v>
      </x:c>
      <x:c r="H232" t="n">
        <x:f>IF(G232&lt;$B$6,1,0)</x:f>
        <x:v>1</x:v>
      </x:c>
      <x:c r="I232" s="26" t="n">
        <x:f>H232*IF(F232=0,E232*$B$7,-E232*$B$8)</x:f>
        <x:v>1372.0788</x:v>
      </x:c>
    </x:row>
    <x:row r="233">
      <x:c r="A233" t="n">
        <x:v>5854</x:v>
      </x:c>
      <x:c r="B233" t="str">
        <x:v>2024-07</x:v>
      </x:c>
      <x:c r="C233" t="str">
        <x:v>Salaried</x:v>
      </x:c>
      <x:c r="D233" t="str">
        <x:v>Group B</x:v>
      </x:c>
      <x:c r="E233" s="26" t="n">
        <x:v>22576.3</x:v>
      </x:c>
      <x:c r="F233" t="n">
        <x:v>0</x:v>
      </x:c>
      <x:c r="G233" s="25" t="n">
        <x:v>0.409134</x:v>
      </x:c>
      <x:c r="H233" t="n">
        <x:f>IF(G233&lt;$B$6,1,0)</x:f>
        <x:v>0</x:v>
      </x:c>
      <x:c r="I233" s="26" t="n">
        <x:f>H233*IF(F233=0,E233*$B$7,-E233*$B$8)</x:f>
        <x:v>0</x:v>
      </x:c>
    </x:row>
    <x:row r="234">
      <x:c r="A234" t="n">
        <x:v>5861</x:v>
      </x:c>
      <x:c r="B234" t="str">
        <x:v>2024-07</x:v>
      </x:c>
      <x:c r="C234" t="str">
        <x:v>Contract</x:v>
      </x:c>
      <x:c r="D234" t="str">
        <x:v>Group A</x:v>
      </x:c>
      <x:c r="E234" s="26" t="n">
        <x:v>6786.01</x:v>
      </x:c>
      <x:c r="F234" t="n">
        <x:v>0</x:v>
      </x:c>
      <x:c r="G234" s="25" t="n">
        <x:v>0.102741</x:v>
      </x:c>
      <x:c r="H234" t="n">
        <x:f>IF(G234&lt;$B$6,1,0)</x:f>
        <x:v>1</x:v>
      </x:c>
      <x:c r="I234" s="26" t="n">
        <x:f>H234*IF(F234=0,E234*$B$7,-E234*$B$8)</x:f>
        <x:v>814.3212</x:v>
      </x:c>
    </x:row>
    <x:row r="235">
      <x:c r="A235" t="n">
        <x:v>5866</x:v>
      </x:c>
      <x:c r="B235" t="str">
        <x:v>2024-07</x:v>
      </x:c>
      <x:c r="C235" t="str">
        <x:v>Salaried</x:v>
      </x:c>
      <x:c r="D235" t="str">
        <x:v>Group B</x:v>
      </x:c>
      <x:c r="E235" s="26" t="n">
        <x:v>11877.24</x:v>
      </x:c>
      <x:c r="F235" t="n">
        <x:v>0</x:v>
      </x:c>
      <x:c r="G235" s="25" t="n">
        <x:v>0.172921</x:v>
      </x:c>
      <x:c r="H235" t="n">
        <x:f>IF(G235&lt;$B$6,1,0)</x:f>
        <x:v>0</x:v>
      </x:c>
      <x:c r="I235" s="26" t="n">
        <x:f>H235*IF(F235=0,E235*$B$7,-E235*$B$8)</x:f>
        <x:v>0</x:v>
      </x:c>
    </x:row>
    <x:row r="236">
      <x:c r="A236" t="n">
        <x:v>5871</x:v>
      </x:c>
      <x:c r="B236" t="str">
        <x:v>2024-07</x:v>
      </x:c>
      <x:c r="C236" t="str">
        <x:v>Salaried</x:v>
      </x:c>
      <x:c r="D236" t="str">
        <x:v>Group B</x:v>
      </x:c>
      <x:c r="E236" s="26" t="n">
        <x:v>39506.43</x:v>
      </x:c>
      <x:c r="F236" t="n">
        <x:v>0</x:v>
      </x:c>
      <x:c r="G236" s="25" t="n">
        <x:v>0.390028</x:v>
      </x:c>
      <x:c r="H236" t="n">
        <x:f>IF(G236&lt;$B$6,1,0)</x:f>
        <x:v>0</x:v>
      </x:c>
      <x:c r="I236" s="26" t="n">
        <x:f>H236*IF(F236=0,E236*$B$7,-E236*$B$8)</x:f>
        <x:v>0</x:v>
      </x:c>
    </x:row>
    <x:row r="237">
      <x:c r="A237" t="n">
        <x:v>5894</x:v>
      </x:c>
      <x:c r="B237" t="str">
        <x:v>2024-07</x:v>
      </x:c>
      <x:c r="C237" t="str">
        <x:v>Self employed</x:v>
      </x:c>
      <x:c r="D237" t="str">
        <x:v>Group B</x:v>
      </x:c>
      <x:c r="E237" s="26" t="n">
        <x:v>24296.5</x:v>
      </x:c>
      <x:c r="F237" t="n">
        <x:v>0</x:v>
      </x:c>
      <x:c r="G237" s="25" t="n">
        <x:v>0.170395</x:v>
      </x:c>
      <x:c r="H237" t="n">
        <x:f>IF(G237&lt;$B$6,1,0)</x:f>
        <x:v>0</x:v>
      </x:c>
      <x:c r="I237" s="26" t="n">
        <x:f>H237*IF(F237=0,E237*$B$7,-E237*$B$8)</x:f>
        <x:v>0</x:v>
      </x:c>
    </x:row>
    <x:row r="238">
      <x:c r="A238" t="n">
        <x:v>5902</x:v>
      </x:c>
      <x:c r="B238" t="str">
        <x:v>2024-07</x:v>
      </x:c>
      <x:c r="C238" t="str">
        <x:v>Salaried</x:v>
      </x:c>
      <x:c r="D238" t="str">
        <x:v>Group A</x:v>
      </x:c>
      <x:c r="E238" s="26" t="n">
        <x:v>12196.51</x:v>
      </x:c>
      <x:c r="F238" t="n">
        <x:v>0</x:v>
      </x:c>
      <x:c r="G238" s="25" t="n">
        <x:v>0.177508</x:v>
      </x:c>
      <x:c r="H238" t="n">
        <x:f>IF(G238&lt;$B$6,1,0)</x:f>
        <x:v>0</x:v>
      </x:c>
      <x:c r="I238" s="26" t="n">
        <x:f>H238*IF(F238=0,E238*$B$7,-E238*$B$8)</x:f>
        <x:v>0</x:v>
      </x:c>
    </x:row>
    <x:row r="239">
      <x:c r="A239" t="n">
        <x:v>5906</x:v>
      </x:c>
      <x:c r="B239" t="str">
        <x:v>2024-07</x:v>
      </x:c>
      <x:c r="C239" t="str">
        <x:v>Salaried</x:v>
      </x:c>
      <x:c r="D239" t="str">
        <x:v>Group A</x:v>
      </x:c>
      <x:c r="E239" s="26" t="n">
        <x:v>57269.63</x:v>
      </x:c>
      <x:c r="F239" t="n">
        <x:v>0</x:v>
      </x:c>
      <x:c r="G239" s="25" t="n">
        <x:v>0.336398</x:v>
      </x:c>
      <x:c r="H239" t="n">
        <x:f>IF(G239&lt;$B$6,1,0)</x:f>
        <x:v>0</x:v>
      </x:c>
      <x:c r="I239" s="26" t="n">
        <x:f>H239*IF(F239=0,E239*$B$7,-E239*$B$8)</x:f>
        <x:v>0</x:v>
      </x:c>
    </x:row>
    <x:row r="240">
      <x:c r="A240" t="n">
        <x:v>5942</x:v>
      </x:c>
      <x:c r="B240" t="str">
        <x:v>2024-07</x:v>
      </x:c>
      <x:c r="C240" t="str">
        <x:v>Salaried</x:v>
      </x:c>
      <x:c r="D240" t="str">
        <x:v>Group A</x:v>
      </x:c>
      <x:c r="E240" s="26" t="n">
        <x:v>11131.11</x:v>
      </x:c>
      <x:c r="F240" t="n">
        <x:v>0</x:v>
      </x:c>
      <x:c r="G240" s="25" t="n">
        <x:v>0.186459</x:v>
      </x:c>
      <x:c r="H240" t="n">
        <x:f>IF(G240&lt;$B$6,1,0)</x:f>
        <x:v>0</x:v>
      </x:c>
      <x:c r="I240" s="26" t="n">
        <x:f>H240*IF(F240=0,E240*$B$7,-E240*$B$8)</x:f>
        <x:v>0</x:v>
      </x:c>
    </x:row>
    <x:row r="241">
      <x:c r="A241" t="n">
        <x:v>5958</x:v>
      </x:c>
      <x:c r="B241" t="str">
        <x:v>2024-07</x:v>
      </x:c>
      <x:c r="C241" t="str">
        <x:v>Salaried</x:v>
      </x:c>
      <x:c r="D241" t="str">
        <x:v>Group B</x:v>
      </x:c>
      <x:c r="E241" s="26" t="n">
        <x:v>23333.97</x:v>
      </x:c>
      <x:c r="F241" t="n">
        <x:v>0</x:v>
      </x:c>
      <x:c r="G241" s="25" t="n">
        <x:v>0.091984</x:v>
      </x:c>
      <x:c r="H241" t="n">
        <x:f>IF(G241&lt;$B$6,1,0)</x:f>
        <x:v>1</x:v>
      </x:c>
      <x:c r="I241" s="26" t="n">
        <x:f>H241*IF(F241=0,E241*$B$7,-E241*$B$8)</x:f>
        <x:v>2800.0764</x:v>
      </x:c>
    </x:row>
    <x:row r="242">
      <x:c r="A242" t="n">
        <x:v>5975</x:v>
      </x:c>
      <x:c r="B242" t="str">
        <x:v>2024-07</x:v>
      </x:c>
      <x:c r="C242" t="str">
        <x:v>Self employed</x:v>
      </x:c>
      <x:c r="D242" t="str">
        <x:v>Group B</x:v>
      </x:c>
      <x:c r="E242" s="26" t="n">
        <x:v>13498.77</x:v>
      </x:c>
      <x:c r="F242" t="n">
        <x:v>0</x:v>
      </x:c>
      <x:c r="G242" s="25" t="n">
        <x:v>0.099668</x:v>
      </x:c>
      <x:c r="H242" t="n">
        <x:f>IF(G242&lt;$B$6,1,0)</x:f>
        <x:v>1</x:v>
      </x:c>
      <x:c r="I242" s="26" t="n">
        <x:f>H242*IF(F242=0,E242*$B$7,-E242*$B$8)</x:f>
        <x:v>1619.8524</x:v>
      </x:c>
    </x:row>
    <x:row r="243">
      <x:c r="A243" t="n">
        <x:v>6013</x:v>
      </x:c>
      <x:c r="B243" t="str">
        <x:v>2024-07</x:v>
      </x:c>
      <x:c r="C243" t="str">
        <x:v>Salaried</x:v>
      </x:c>
      <x:c r="D243" t="str">
        <x:v>Group B</x:v>
      </x:c>
      <x:c r="E243" s="26" t="n">
        <x:v>11113.08</x:v>
      </x:c>
      <x:c r="F243" t="n">
        <x:v>0</x:v>
      </x:c>
      <x:c r="G243" s="25" t="n">
        <x:v>0.091383</x:v>
      </x:c>
      <x:c r="H243" t="n">
        <x:f>IF(G243&lt;$B$6,1,0)</x:f>
        <x:v>1</x:v>
      </x:c>
      <x:c r="I243" s="26" t="n">
        <x:f>H243*IF(F243=0,E243*$B$7,-E243*$B$8)</x:f>
        <x:v>1333.5696</x:v>
      </x:c>
    </x:row>
    <x:row r="244">
      <x:c r="A244" t="n">
        <x:v>6026</x:v>
      </x:c>
      <x:c r="B244" t="str">
        <x:v>2024-07</x:v>
      </x:c>
      <x:c r="C244" t="str">
        <x:v>Salaried</x:v>
      </x:c>
      <x:c r="D244" t="str">
        <x:v>Group B</x:v>
      </x:c>
      <x:c r="E244" s="26" t="n">
        <x:v>10276.97</x:v>
      </x:c>
      <x:c r="F244" t="n">
        <x:v>0</x:v>
      </x:c>
      <x:c r="G244" s="25" t="n">
        <x:v>0.146666</x:v>
      </x:c>
      <x:c r="H244" t="n">
        <x:f>IF(G244&lt;$B$6,1,0)</x:f>
        <x:v>1</x:v>
      </x:c>
      <x:c r="I244" s="26" t="n">
        <x:f>H244*IF(F244=0,E244*$B$7,-E244*$B$8)</x:f>
        <x:v>1233.2363999999998</x:v>
      </x:c>
    </x:row>
    <x:row r="245">
      <x:c r="A245" t="n">
        <x:v>6039</x:v>
      </x:c>
      <x:c r="B245" t="str">
        <x:v>2024-07</x:v>
      </x:c>
      <x:c r="C245" t="str">
        <x:v>Salaried</x:v>
      </x:c>
      <x:c r="D245" t="str">
        <x:v>Group B</x:v>
      </x:c>
      <x:c r="E245" s="26" t="n">
        <x:v>12909.71</x:v>
      </x:c>
      <x:c r="F245" t="n">
        <x:v>0</x:v>
      </x:c>
      <x:c r="G245" s="25" t="n">
        <x:v>0.255502</x:v>
      </x:c>
      <x:c r="H245" t="n">
        <x:f>IF(G245&lt;$B$6,1,0)</x:f>
        <x:v>0</x:v>
      </x:c>
      <x:c r="I245" s="26" t="n">
        <x:f>H245*IF(F245=0,E245*$B$7,-E245*$B$8)</x:f>
        <x:v>0</x:v>
      </x:c>
    </x:row>
    <x:row r="246">
      <x:c r="A246" t="n">
        <x:v>6051</x:v>
      </x:c>
      <x:c r="B246" t="str">
        <x:v>2024-07</x:v>
      </x:c>
      <x:c r="C246" t="str">
        <x:v>Self employed</x:v>
      </x:c>
      <x:c r="D246" t="str">
        <x:v>Group A</x:v>
      </x:c>
      <x:c r="E246" s="26" t="n">
        <x:v>8051.38</x:v>
      </x:c>
      <x:c r="F246" t="n">
        <x:v>0</x:v>
      </x:c>
      <x:c r="G246" s="25" t="n">
        <x:v>0.087263</x:v>
      </x:c>
      <x:c r="H246" t="n">
        <x:f>IF(G246&lt;$B$6,1,0)</x:f>
        <x:v>1</x:v>
      </x:c>
      <x:c r="I246" s="26" t="n">
        <x:f>H246*IF(F246=0,E246*$B$7,-E246*$B$8)</x:f>
        <x:v>966.1655999999999</x:v>
      </x:c>
    </x:row>
    <x:row r="247">
      <x:c r="A247" t="n">
        <x:v>6089</x:v>
      </x:c>
      <x:c r="B247" t="str">
        <x:v>2024-07</x:v>
      </x:c>
      <x:c r="C247" t="str">
        <x:v>Self employed</x:v>
      </x:c>
      <x:c r="D247" t="str">
        <x:v>Group A</x:v>
      </x:c>
      <x:c r="E247" s="26" t="n">
        <x:v>25232.34</x:v>
      </x:c>
      <x:c r="F247" t="n">
        <x:v>1</x:v>
      </x:c>
      <x:c r="G247" s="25" t="n">
        <x:v>0.389345</x:v>
      </x:c>
      <x:c r="H247" t="n">
        <x:f>IF(G247&lt;$B$6,1,0)</x:f>
        <x:v>0</x:v>
      </x:c>
      <x:c r="I247" s="26" t="n">
        <x:f>H247*IF(F247=0,E247*$B$7,-E247*$B$8)</x:f>
        <x:v>0</x:v>
      </x:c>
    </x:row>
    <x:row r="248">
      <x:c r="A248" t="n">
        <x:v>6100</x:v>
      </x:c>
      <x:c r="B248" t="str">
        <x:v>2024-07</x:v>
      </x:c>
      <x:c r="C248" t="str">
        <x:v>Salaried</x:v>
      </x:c>
      <x:c r="D248" t="str">
        <x:v>Group B</x:v>
      </x:c>
      <x:c r="E248" s="26" t="n">
        <x:v>12489.18</x:v>
      </x:c>
      <x:c r="F248" t="n">
        <x:v>0</x:v>
      </x:c>
      <x:c r="G248" s="25" t="n">
        <x:v>0.057151</x:v>
      </x:c>
      <x:c r="H248" t="n">
        <x:f>IF(G248&lt;$B$6,1,0)</x:f>
        <x:v>1</x:v>
      </x:c>
      <x:c r="I248" s="26" t="n">
        <x:f>H248*IF(F248=0,E248*$B$7,-E248*$B$8)</x:f>
        <x:v>1498.7015999999999</x:v>
      </x:c>
    </x:row>
    <x:row r="249">
      <x:c r="A249" t="n">
        <x:v>6139</x:v>
      </x:c>
      <x:c r="B249" t="str">
        <x:v>2024-07</x:v>
      </x:c>
      <x:c r="C249" t="str">
        <x:v>Salaried</x:v>
      </x:c>
      <x:c r="D249" t="str">
        <x:v>Group A</x:v>
      </x:c>
      <x:c r="E249" s="26" t="n">
        <x:v>17033.05</x:v>
      </x:c>
      <x:c r="F249" t="n">
        <x:v>1</x:v>
      </x:c>
      <x:c r="G249" s="25" t="n">
        <x:v>0.173056</x:v>
      </x:c>
      <x:c r="H249" t="n">
        <x:f>IF(G249&lt;$B$6,1,0)</x:f>
        <x:v>0</x:v>
      </x:c>
      <x:c r="I249" s="26" t="n">
        <x:f>H249*IF(F249=0,E249*$B$7,-E249*$B$8)</x:f>
        <x:v>0</x:v>
      </x:c>
    </x:row>
    <x:row r="250">
      <x:c r="A250" t="n">
        <x:v>6236</x:v>
      </x:c>
      <x:c r="B250" t="str">
        <x:v>2024-07</x:v>
      </x:c>
      <x:c r="C250" t="str">
        <x:v>Salaried</x:v>
      </x:c>
      <x:c r="D250" t="str">
        <x:v>Group B</x:v>
      </x:c>
      <x:c r="E250" s="26" t="n">
        <x:v>3477.56</x:v>
      </x:c>
      <x:c r="F250" t="n">
        <x:v>0</x:v>
      </x:c>
      <x:c r="G250" s="25" t="n">
        <x:v>0.076896</x:v>
      </x:c>
      <x:c r="H250" t="n">
        <x:f>IF(G250&lt;$B$6,1,0)</x:f>
        <x:v>1</x:v>
      </x:c>
      <x:c r="I250" s="26" t="n">
        <x:f>H250*IF(F250=0,E250*$B$7,-E250*$B$8)</x:f>
        <x:v>417.30719999999997</x:v>
      </x:c>
    </x:row>
    <x:row r="251">
      <x:c r="A251" t="n">
        <x:v>6244</x:v>
      </x:c>
      <x:c r="B251" t="str">
        <x:v>2024-07</x:v>
      </x:c>
      <x:c r="C251" t="str">
        <x:v>Salaried</x:v>
      </x:c>
      <x:c r="D251" t="str">
        <x:v>Group A</x:v>
      </x:c>
      <x:c r="E251" s="26" t="n">
        <x:v>44495.34</x:v>
      </x:c>
      <x:c r="F251" t="n">
        <x:v>0</x:v>
      </x:c>
      <x:c r="G251" s="25" t="n">
        <x:v>0.425042</x:v>
      </x:c>
      <x:c r="H251" t="n">
        <x:f>IF(G251&lt;$B$6,1,0)</x:f>
        <x:v>0</x:v>
      </x:c>
      <x:c r="I251" s="26" t="n">
        <x:f>H251*IF(F251=0,E251*$B$7,-E251*$B$8)</x:f>
        <x:v>0</x:v>
      </x:c>
    </x:row>
    <x:row r="252">
      <x:c r="A252" t="n">
        <x:v>6268</x:v>
      </x:c>
      <x:c r="B252" t="str">
        <x:v>2024-07</x:v>
      </x:c>
      <x:c r="C252" t="str">
        <x:v>Contract</x:v>
      </x:c>
      <x:c r="D252" t="str">
        <x:v>Group A</x:v>
      </x:c>
      <x:c r="E252" s="26" t="n">
        <x:v>20327.12</x:v>
      </x:c>
      <x:c r="F252" t="n">
        <x:v>0</x:v>
      </x:c>
      <x:c r="G252" s="25" t="n">
        <x:v>0.528842</x:v>
      </x:c>
      <x:c r="H252" t="n">
        <x:f>IF(G252&lt;$B$6,1,0)</x:f>
        <x:v>0</x:v>
      </x:c>
      <x:c r="I252" s="26" t="n">
        <x:f>H252*IF(F252=0,E252*$B$7,-E252*$B$8)</x:f>
        <x:v>0</x:v>
      </x:c>
    </x:row>
    <x:row r="253">
      <x:c r="A253" t="n">
        <x:v>6282</x:v>
      </x:c>
      <x:c r="B253" t="str">
        <x:v>2024-07</x:v>
      </x:c>
      <x:c r="C253" t="str">
        <x:v>Contract</x:v>
      </x:c>
      <x:c r="D253" t="str">
        <x:v>Group A</x:v>
      </x:c>
      <x:c r="E253" s="26" t="n">
        <x:v>16777.8</x:v>
      </x:c>
      <x:c r="F253" t="n">
        <x:v>0</x:v>
      </x:c>
      <x:c r="G253" s="25" t="n">
        <x:v>0.265704</x:v>
      </x:c>
      <x:c r="H253" t="n">
        <x:f>IF(G253&lt;$B$6,1,0)</x:f>
        <x:v>0</x:v>
      </x:c>
      <x:c r="I253" s="26" t="n">
        <x:f>H253*IF(F253=0,E253*$B$7,-E253*$B$8)</x:f>
        <x:v>0</x:v>
      </x:c>
    </x:row>
    <x:row r="254">
      <x:c r="A254" t="n">
        <x:v>6289</x:v>
      </x:c>
      <x:c r="B254" t="str">
        <x:v>2024-07</x:v>
      </x:c>
      <x:c r="C254" t="str">
        <x:v>Salaried</x:v>
      </x:c>
      <x:c r="D254" t="str">
        <x:v>Group B</x:v>
      </x:c>
      <x:c r="E254" s="26" t="n">
        <x:v>18784.71</x:v>
      </x:c>
      <x:c r="F254" t="n">
        <x:v>1</x:v>
      </x:c>
      <x:c r="G254" s="25" t="n">
        <x:v>0.400457</x:v>
      </x:c>
      <x:c r="H254" t="n">
        <x:f>IF(G254&lt;$B$6,1,0)</x:f>
        <x:v>0</x:v>
      </x:c>
      <x:c r="I254" s="26" t="n">
        <x:f>H254*IF(F254=0,E254*$B$7,-E254*$B$8)</x:f>
        <x:v>0</x:v>
      </x:c>
    </x:row>
    <x:row r="255">
      <x:c r="A255" t="n">
        <x:v>6293</x:v>
      </x:c>
      <x:c r="B255" t="str">
        <x:v>2024-07</x:v>
      </x:c>
      <x:c r="C255" t="str">
        <x:v>Salaried</x:v>
      </x:c>
      <x:c r="D255" t="str">
        <x:v>Group A</x:v>
      </x:c>
      <x:c r="E255" s="26" t="n">
        <x:v>21236.58</x:v>
      </x:c>
      <x:c r="F255" t="n">
        <x:v>0</x:v>
      </x:c>
      <x:c r="G255" s="25" t="n">
        <x:v>0.358859</x:v>
      </x:c>
      <x:c r="H255" t="n">
        <x:f>IF(G255&lt;$B$6,1,0)</x:f>
        <x:v>0</x:v>
      </x:c>
      <x:c r="I255" s="26" t="n">
        <x:f>H255*IF(F255=0,E255*$B$7,-E255*$B$8)</x:f>
        <x:v>0</x:v>
      </x:c>
    </x:row>
    <x:row r="256">
      <x:c r="A256" t="n">
        <x:v>6312</x:v>
      </x:c>
      <x:c r="B256" t="str">
        <x:v>2024-07</x:v>
      </x:c>
      <x:c r="C256" t="str">
        <x:v>Salaried</x:v>
      </x:c>
      <x:c r="D256" t="str">
        <x:v>Group B</x:v>
      </x:c>
      <x:c r="E256" s="26" t="n">
        <x:v>11501.26</x:v>
      </x:c>
      <x:c r="F256" t="n">
        <x:v>0</x:v>
      </x:c>
      <x:c r="G256" s="25" t="n">
        <x:v>0.149884</x:v>
      </x:c>
      <x:c r="H256" t="n">
        <x:f>IF(G256&lt;$B$6,1,0)</x:f>
        <x:v>1</x:v>
      </x:c>
      <x:c r="I256" s="26" t="n">
        <x:f>H256*IF(F256=0,E256*$B$7,-E256*$B$8)</x:f>
        <x:v>1380.1512</x:v>
      </x:c>
    </x:row>
    <x:row r="257">
      <x:c r="A257" t="n">
        <x:v>6328</x:v>
      </x:c>
      <x:c r="B257" t="str">
        <x:v>2024-07</x:v>
      </x:c>
      <x:c r="C257" t="str">
        <x:v>Salaried</x:v>
      </x:c>
      <x:c r="D257" t="str">
        <x:v>Group A</x:v>
      </x:c>
      <x:c r="E257" s="26" t="n">
        <x:v>18346.9</x:v>
      </x:c>
      <x:c r="F257" t="n">
        <x:v>0</x:v>
      </x:c>
      <x:c r="G257" s="25" t="n">
        <x:v>0.09076</x:v>
      </x:c>
      <x:c r="H257" t="n">
        <x:f>IF(G257&lt;$B$6,1,0)</x:f>
        <x:v>1</x:v>
      </x:c>
      <x:c r="I257" s="26" t="n">
        <x:f>H257*IF(F257=0,E257*$B$7,-E257*$B$8)</x:f>
        <x:v>2201.628</x:v>
      </x:c>
    </x:row>
    <x:row r="258">
      <x:c r="A258" t="n">
        <x:v>6348</x:v>
      </x:c>
      <x:c r="B258" t="str">
        <x:v>2024-07</x:v>
      </x:c>
      <x:c r="C258" t="str">
        <x:v>Salaried</x:v>
      </x:c>
      <x:c r="D258" t="str">
        <x:v>Group A</x:v>
      </x:c>
      <x:c r="E258" s="26" t="n">
        <x:v>9313.65</x:v>
      </x:c>
      <x:c r="F258" t="n">
        <x:v>0</x:v>
      </x:c>
      <x:c r="G258" s="25" t="n">
        <x:v>0.104289</x:v>
      </x:c>
      <x:c r="H258" t="n">
        <x:f>IF(G258&lt;$B$6,1,0)</x:f>
        <x:v>1</x:v>
      </x:c>
      <x:c r="I258" s="26" t="n">
        <x:f>H258*IF(F258=0,E258*$B$7,-E258*$B$8)</x:f>
        <x:v>1117.638</x:v>
      </x:c>
    </x:row>
    <x:row r="259">
      <x:c r="A259" t="n">
        <x:v>6367</x:v>
      </x:c>
      <x:c r="B259" t="str">
        <x:v>2024-07</x:v>
      </x:c>
      <x:c r="C259" t="str">
        <x:v>Salaried</x:v>
      </x:c>
      <x:c r="D259" t="str">
        <x:v>Group A</x:v>
      </x:c>
      <x:c r="E259" s="26" t="n">
        <x:v>22501.65</x:v>
      </x:c>
      <x:c r="F259" t="n">
        <x:v>0</x:v>
      </x:c>
      <x:c r="G259" s="25" t="n">
        <x:v>0.360539</x:v>
      </x:c>
      <x:c r="H259" t="n">
        <x:f>IF(G259&lt;$B$6,1,0)</x:f>
        <x:v>0</x:v>
      </x:c>
      <x:c r="I259" s="26" t="n">
        <x:f>H259*IF(F259=0,E259*$B$7,-E259*$B$8)</x:f>
        <x:v>0</x:v>
      </x:c>
    </x:row>
    <x:row r="260">
      <x:c r="A260" t="n">
        <x:v>6417</x:v>
      </x:c>
      <x:c r="B260" t="str">
        <x:v>2024-07</x:v>
      </x:c>
      <x:c r="C260" t="str">
        <x:v>Salaried</x:v>
      </x:c>
      <x:c r="D260" t="str">
        <x:v>Group A</x:v>
      </x:c>
      <x:c r="E260" s="26" t="n">
        <x:v>9597.46</x:v>
      </x:c>
      <x:c r="F260" t="n">
        <x:v>0</x:v>
      </x:c>
      <x:c r="G260" s="25" t="n">
        <x:v>0.292364</x:v>
      </x:c>
      <x:c r="H260" t="n">
        <x:f>IF(G260&lt;$B$6,1,0)</x:f>
        <x:v>0</x:v>
      </x:c>
      <x:c r="I260" s="26" t="n">
        <x:f>H260*IF(F260=0,E260*$B$7,-E260*$B$8)</x:f>
        <x:v>0</x:v>
      </x:c>
    </x:row>
    <x:row r="261">
      <x:c r="A261" t="n">
        <x:v>6483</x:v>
      </x:c>
      <x:c r="B261" t="str">
        <x:v>2024-07</x:v>
      </x:c>
      <x:c r="C261" t="str">
        <x:v>Salaried</x:v>
      </x:c>
      <x:c r="D261" t="str">
        <x:v>Group A</x:v>
      </x:c>
      <x:c r="E261" s="26" t="n">
        <x:v>10466.09</x:v>
      </x:c>
      <x:c r="F261" t="n">
        <x:v>0</x:v>
      </x:c>
      <x:c r="G261" s="25" t="n">
        <x:v>0.185424</x:v>
      </x:c>
      <x:c r="H261" t="n">
        <x:f>IF(G261&lt;$B$6,1,0)</x:f>
        <x:v>0</x:v>
      </x:c>
      <x:c r="I261" s="26" t="n">
        <x:f>H261*IF(F261=0,E261*$B$7,-E261*$B$8)</x:f>
        <x:v>0</x:v>
      </x:c>
    </x:row>
    <x:row r="262">
      <x:c r="A262" t="n">
        <x:v>6532</x:v>
      </x:c>
      <x:c r="B262" t="str">
        <x:v>2024-07</x:v>
      </x:c>
      <x:c r="C262" t="str">
        <x:v>Salaried</x:v>
      </x:c>
      <x:c r="D262" t="str">
        <x:v>Group A</x:v>
      </x:c>
      <x:c r="E262" s="26" t="n">
        <x:v>17879.95</x:v>
      </x:c>
      <x:c r="F262" t="n">
        <x:v>0</x:v>
      </x:c>
      <x:c r="G262" s="25" t="n">
        <x:v>0.078516</x:v>
      </x:c>
      <x:c r="H262" t="n">
        <x:f>IF(G262&lt;$B$6,1,0)</x:f>
        <x:v>1</x:v>
      </x:c>
      <x:c r="I262" s="26" t="n">
        <x:f>H262*IF(F262=0,E262*$B$7,-E262*$B$8)</x:f>
        <x:v>2145.594</x:v>
      </x:c>
    </x:row>
    <x:row r="263">
      <x:c r="A263" t="n">
        <x:v>6653</x:v>
      </x:c>
      <x:c r="B263" t="str">
        <x:v>2024-07</x:v>
      </x:c>
      <x:c r="C263" t="str">
        <x:v>Self employed</x:v>
      </x:c>
      <x:c r="D263" t="str">
        <x:v>Group A</x:v>
      </x:c>
      <x:c r="E263" s="26" t="n">
        <x:v>33659.74</x:v>
      </x:c>
      <x:c r="F263" t="n">
        <x:v>0</x:v>
      </x:c>
      <x:c r="G263" s="25" t="n">
        <x:v>0.295655</x:v>
      </x:c>
      <x:c r="H263" t="n">
        <x:f>IF(G263&lt;$B$6,1,0)</x:f>
        <x:v>0</x:v>
      </x:c>
      <x:c r="I263" s="26" t="n">
        <x:f>H263*IF(F263=0,E263*$B$7,-E263*$B$8)</x:f>
        <x:v>0</x:v>
      </x:c>
    </x:row>
    <x:row r="264">
      <x:c r="A264" t="n">
        <x:v>6687</x:v>
      </x:c>
      <x:c r="B264" t="str">
        <x:v>2024-07</x:v>
      </x:c>
      <x:c r="C264" t="str">
        <x:v>Salaried</x:v>
      </x:c>
      <x:c r="D264" t="str">
        <x:v>Group A</x:v>
      </x:c>
      <x:c r="E264" s="26" t="n">
        <x:v>7857.13</x:v>
      </x:c>
      <x:c r="F264" t="n">
        <x:v>0</x:v>
      </x:c>
      <x:c r="G264" s="25" t="n">
        <x:v>0.346263</x:v>
      </x:c>
      <x:c r="H264" t="n">
        <x:f>IF(G264&lt;$B$6,1,0)</x:f>
        <x:v>0</x:v>
      </x:c>
      <x:c r="I264" s="26" t="n">
        <x:f>H264*IF(F264=0,E264*$B$7,-E264*$B$8)</x:f>
        <x:v>0</x:v>
      </x:c>
    </x:row>
    <x:row r="265">
      <x:c r="A265" t="n">
        <x:v>6691</x:v>
      </x:c>
      <x:c r="B265" t="str">
        <x:v>2024-07</x:v>
      </x:c>
      <x:c r="C265" t="str">
        <x:v>Self employed</x:v>
      </x:c>
      <x:c r="D265" t="str">
        <x:v>Group B</x:v>
      </x:c>
      <x:c r="E265" s="26" t="n">
        <x:v>3500.05</x:v>
      </x:c>
      <x:c r="F265" t="n">
        <x:v>1</x:v>
      </x:c>
      <x:c r="G265" s="25" t="n">
        <x:v>0.149958</x:v>
      </x:c>
      <x:c r="H265" t="n">
        <x:f>IF(G265&lt;$B$6,1,0)</x:f>
        <x:v>1</x:v>
      </x:c>
      <x:c r="I265" s="26" t="n">
        <x:f>H265*IF(F265=0,E265*$B$7,-E265*$B$8)</x:f>
        <x:v>-2275.0325000000003</x:v>
      </x:c>
    </x:row>
    <x:row r="266">
      <x:c r="A266" t="n">
        <x:v>6732</x:v>
      </x:c>
      <x:c r="B266" t="str">
        <x:v>2024-07</x:v>
      </x:c>
      <x:c r="C266" t="str">
        <x:v>Salaried</x:v>
      </x:c>
      <x:c r="D266" t="str">
        <x:v>Group B</x:v>
      </x:c>
      <x:c r="E266" s="26" t="n">
        <x:v>9063.86</x:v>
      </x:c>
      <x:c r="F266" t="n">
        <x:v>1</x:v>
      </x:c>
      <x:c r="G266" s="25" t="n">
        <x:v>0.160439</x:v>
      </x:c>
      <x:c r="H266" t="n">
        <x:f>IF(G266&lt;$B$6,1,0)</x:f>
        <x:v>0</x:v>
      </x:c>
      <x:c r="I266" s="26" t="n">
        <x:f>H266*IF(F266=0,E266*$B$7,-E266*$B$8)</x:f>
        <x:v>0</x:v>
      </x:c>
    </x:row>
    <x:row r="267">
      <x:c r="A267" t="n">
        <x:v>6733</x:v>
      </x:c>
      <x:c r="B267" t="str">
        <x:v>2024-07</x:v>
      </x:c>
      <x:c r="C267" t="str">
        <x:v>Salaried</x:v>
      </x:c>
      <x:c r="D267" t="str">
        <x:v>Group A</x:v>
      </x:c>
      <x:c r="E267" s="26" t="n">
        <x:v>20537.04</x:v>
      </x:c>
      <x:c r="F267" t="n">
        <x:v>1</x:v>
      </x:c>
      <x:c r="G267" s="25" t="n">
        <x:v>0.380898</x:v>
      </x:c>
      <x:c r="H267" t="n">
        <x:f>IF(G267&lt;$B$6,1,0)</x:f>
        <x:v>0</x:v>
      </x:c>
      <x:c r="I267" s="26" t="n">
        <x:f>H267*IF(F267=0,E267*$B$7,-E267*$B$8)</x:f>
        <x:v>0</x:v>
      </x:c>
    </x:row>
    <x:row r="268">
      <x:c r="A268" t="n">
        <x:v>6758</x:v>
      </x:c>
      <x:c r="B268" t="str">
        <x:v>2024-07</x:v>
      </x:c>
      <x:c r="C268" t="str">
        <x:v>Salaried</x:v>
      </x:c>
      <x:c r="D268" t="str">
        <x:v>Group A</x:v>
      </x:c>
      <x:c r="E268" s="26" t="n">
        <x:v>29307.8</x:v>
      </x:c>
      <x:c r="F268" t="n">
        <x:v>1</x:v>
      </x:c>
      <x:c r="G268" s="25" t="n">
        <x:v>0.121955</x:v>
      </x:c>
      <x:c r="H268" t="n">
        <x:f>IF(G268&lt;$B$6,1,0)</x:f>
        <x:v>1</x:v>
      </x:c>
      <x:c r="I268" s="26" t="n">
        <x:f>H268*IF(F268=0,E268*$B$7,-E268*$B$8)</x:f>
        <x:v>-19050.07</x:v>
      </x:c>
    </x:row>
    <x:row r="269">
      <x:c r="A269" t="n">
        <x:v>6762</x:v>
      </x:c>
      <x:c r="B269" t="str">
        <x:v>2024-07</x:v>
      </x:c>
      <x:c r="C269" t="str">
        <x:v>Salaried</x:v>
      </x:c>
      <x:c r="D269" t="str">
        <x:v>Group A</x:v>
      </x:c>
      <x:c r="E269" s="26" t="n">
        <x:v>14465.09</x:v>
      </x:c>
      <x:c r="F269" t="n">
        <x:v>0</x:v>
      </x:c>
      <x:c r="G269" s="25" t="n">
        <x:v>0.031384</x:v>
      </x:c>
      <x:c r="H269" t="n">
        <x:f>IF(G269&lt;$B$6,1,0)</x:f>
        <x:v>1</x:v>
      </x:c>
      <x:c r="I269" s="26" t="n">
        <x:f>H269*IF(F269=0,E269*$B$7,-E269*$B$8)</x:f>
        <x:v>1735.8108</x:v>
      </x:c>
    </x:row>
    <x:row r="270">
      <x:c r="A270" t="n">
        <x:v>6803</x:v>
      </x:c>
      <x:c r="B270" t="str">
        <x:v>2024-07</x:v>
      </x:c>
      <x:c r="C270" t="str">
        <x:v>Contract</x:v>
      </x:c>
      <x:c r="D270" t="str">
        <x:v>Group A</x:v>
      </x:c>
      <x:c r="E270" s="26" t="n">
        <x:v>27818.56</x:v>
      </x:c>
      <x:c r="F270" t="n">
        <x:v>1</x:v>
      </x:c>
      <x:c r="G270" s="25" t="n">
        <x:v>0.142404</x:v>
      </x:c>
      <x:c r="H270" t="n">
        <x:f>IF(G270&lt;$B$6,1,0)</x:f>
        <x:v>1</x:v>
      </x:c>
      <x:c r="I270" s="26" t="n">
        <x:f>H270*IF(F270=0,E270*$B$7,-E270*$B$8)</x:f>
        <x:v>-18082.064000000002</x:v>
      </x:c>
    </x:row>
    <x:row r="271">
      <x:c r="A271" t="n">
        <x:v>6828</x:v>
      </x:c>
      <x:c r="B271" t="str">
        <x:v>2024-07</x:v>
      </x:c>
      <x:c r="C271" t="str">
        <x:v>Contract</x:v>
      </x:c>
      <x:c r="D271" t="str">
        <x:v>Group B</x:v>
      </x:c>
      <x:c r="E271" s="26" t="n">
        <x:v>20254.55</x:v>
      </x:c>
      <x:c r="F271" t="n">
        <x:v>0</x:v>
      </x:c>
      <x:c r="G271" s="25" t="n">
        <x:v>0.296565</x:v>
      </x:c>
      <x:c r="H271" t="n">
        <x:f>IF(G271&lt;$B$6,1,0)</x:f>
        <x:v>0</x:v>
      </x:c>
      <x:c r="I271" s="26" t="n">
        <x:f>H271*IF(F271=0,E271*$B$7,-E271*$B$8)</x:f>
        <x:v>0</x:v>
      </x:c>
    </x:row>
    <x:row r="272">
      <x:c r="A272" t="n">
        <x:v>6853</x:v>
      </x:c>
      <x:c r="B272" t="str">
        <x:v>2024-07</x:v>
      </x:c>
      <x:c r="C272" t="str">
        <x:v>Salaried</x:v>
      </x:c>
      <x:c r="D272" t="str">
        <x:v>Group A</x:v>
      </x:c>
      <x:c r="E272" s="26" t="n">
        <x:v>15485.78</x:v>
      </x:c>
      <x:c r="F272" t="n">
        <x:v>1</x:v>
      </x:c>
      <x:c r="G272" s="25" t="n">
        <x:v>0.195412</x:v>
      </x:c>
      <x:c r="H272" t="n">
        <x:f>IF(G272&lt;$B$6,1,0)</x:f>
        <x:v>0</x:v>
      </x:c>
      <x:c r="I272" s="26" t="n">
        <x:f>H272*IF(F272=0,E272*$B$7,-E272*$B$8)</x:f>
        <x:v>0</x:v>
      </x:c>
    </x:row>
    <x:row r="273">
      <x:c r="A273" t="n">
        <x:v>6903</x:v>
      </x:c>
      <x:c r="B273" t="str">
        <x:v>2024-07</x:v>
      </x:c>
      <x:c r="C273" t="str">
        <x:v>Contract</x:v>
      </x:c>
      <x:c r="D273" t="str">
        <x:v>Group A</x:v>
      </x:c>
      <x:c r="E273" s="26" t="n">
        <x:v>15872.97</x:v>
      </x:c>
      <x:c r="F273" t="n">
        <x:v>1</x:v>
      </x:c>
      <x:c r="G273" s="25" t="n">
        <x:v>0.437671</x:v>
      </x:c>
      <x:c r="H273" t="n">
        <x:f>IF(G273&lt;$B$6,1,0)</x:f>
        <x:v>0</x:v>
      </x:c>
      <x:c r="I273" s="26" t="n">
        <x:f>H273*IF(F273=0,E273*$B$7,-E273*$B$8)</x:f>
        <x:v>0</x:v>
      </x:c>
    </x:row>
    <x:row r="274">
      <x:c r="A274" t="n">
        <x:v>6917</x:v>
      </x:c>
      <x:c r="B274" t="str">
        <x:v>2024-07</x:v>
      </x:c>
      <x:c r="C274" t="str">
        <x:v>Contract</x:v>
      </x:c>
      <x:c r="D274" t="str">
        <x:v>Group A</x:v>
      </x:c>
      <x:c r="E274" s="26" t="n">
        <x:v>6246.49</x:v>
      </x:c>
      <x:c r="F274" t="n">
        <x:v>0</x:v>
      </x:c>
      <x:c r="G274" s="25" t="n">
        <x:v>0.06289</x:v>
      </x:c>
      <x:c r="H274" t="n">
        <x:f>IF(G274&lt;$B$6,1,0)</x:f>
        <x:v>1</x:v>
      </x:c>
      <x:c r="I274" s="26" t="n">
        <x:f>H274*IF(F274=0,E274*$B$7,-E274*$B$8)</x:f>
        <x:v>749.5788</x:v>
      </x:c>
    </x:row>
    <x:row r="275">
      <x:c r="A275" t="n">
        <x:v>6939</x:v>
      </x:c>
      <x:c r="B275" t="str">
        <x:v>2024-07</x:v>
      </x:c>
      <x:c r="C275" t="str">
        <x:v>Salaried</x:v>
      </x:c>
      <x:c r="D275" t="str">
        <x:v>Group B</x:v>
      </x:c>
      <x:c r="E275" s="26" t="n">
        <x:v>6345.78</x:v>
      </x:c>
      <x:c r="F275" t="n">
        <x:v>0</x:v>
      </x:c>
      <x:c r="G275" s="25" t="n">
        <x:v>0.269034</x:v>
      </x:c>
      <x:c r="H275" t="n">
        <x:f>IF(G275&lt;$B$6,1,0)</x:f>
        <x:v>0</x:v>
      </x:c>
      <x:c r="I275" s="26" t="n">
        <x:f>H275*IF(F275=0,E275*$B$7,-E275*$B$8)</x:f>
        <x:v>0</x:v>
      </x:c>
    </x:row>
    <x:row r="276">
      <x:c r="A276" t="n">
        <x:v>6963</x:v>
      </x:c>
      <x:c r="B276" t="str">
        <x:v>2024-07</x:v>
      </x:c>
      <x:c r="C276" t="str">
        <x:v>Salaried</x:v>
      </x:c>
      <x:c r="D276" t="str">
        <x:v>Group A</x:v>
      </x:c>
      <x:c r="E276" s="26" t="n">
        <x:v>10135.56</x:v>
      </x:c>
      <x:c r="F276" t="n">
        <x:v>1</x:v>
      </x:c>
      <x:c r="G276" s="25" t="n">
        <x:v>0.119328</x:v>
      </x:c>
      <x:c r="H276" t="n">
        <x:f>IF(G276&lt;$B$6,1,0)</x:f>
        <x:v>1</x:v>
      </x:c>
      <x:c r="I276" s="26" t="n">
        <x:f>H276*IF(F276=0,E276*$B$7,-E276*$B$8)</x:f>
        <x:v>-6588.114</x:v>
      </x:c>
    </x:row>
    <x:row r="277">
      <x:c r="A277" t="n">
        <x:v>6966</x:v>
      </x:c>
      <x:c r="B277" t="str">
        <x:v>2024-07</x:v>
      </x:c>
      <x:c r="C277" t="str">
        <x:v>Self employed</x:v>
      </x:c>
      <x:c r="D277" t="str">
        <x:v>Group B</x:v>
      </x:c>
      <x:c r="E277" s="26" t="n">
        <x:v>9119.1</x:v>
      </x:c>
      <x:c r="F277" t="n">
        <x:v>1</x:v>
      </x:c>
      <x:c r="G277" s="25" t="n">
        <x:v>0.075303</x:v>
      </x:c>
      <x:c r="H277" t="n">
        <x:f>IF(G277&lt;$B$6,1,0)</x:f>
        <x:v>1</x:v>
      </x:c>
      <x:c r="I277" s="26" t="n">
        <x:f>H277*IF(F277=0,E277*$B$7,-E277*$B$8)</x:f>
        <x:v>-5927.415000000001</x:v>
      </x:c>
    </x:row>
    <x:row r="278">
      <x:c r="A278" t="n">
        <x:v>6975</x:v>
      </x:c>
      <x:c r="B278" t="str">
        <x:v>2024-07</x:v>
      </x:c>
      <x:c r="C278" t="str">
        <x:v>Contract</x:v>
      </x:c>
      <x:c r="D278" t="str">
        <x:v>Group A</x:v>
      </x:c>
      <x:c r="E278" s="26" t="n">
        <x:v>4317.23</x:v>
      </x:c>
      <x:c r="F278" t="n">
        <x:v>0</x:v>
      </x:c>
      <x:c r="G278" s="25" t="n">
        <x:v>0.284094</x:v>
      </x:c>
      <x:c r="H278" t="n">
        <x:f>IF(G278&lt;$B$6,1,0)</x:f>
        <x:v>0</x:v>
      </x:c>
      <x:c r="I278" s="26" t="n">
        <x:f>H278*IF(F278=0,E278*$B$7,-E278*$B$8)</x:f>
        <x:v>0</x:v>
      </x:c>
    </x:row>
    <x:row r="279">
      <x:c r="A279" t="n">
        <x:v>6989</x:v>
      </x:c>
      <x:c r="B279" t="str">
        <x:v>2024-07</x:v>
      </x:c>
      <x:c r="C279" t="str">
        <x:v>Self employed</x:v>
      </x:c>
      <x:c r="D279" t="str">
        <x:v>Group B</x:v>
      </x:c>
      <x:c r="E279" s="26" t="n">
        <x:v>4522.29</x:v>
      </x:c>
      <x:c r="F279" t="n">
        <x:v>0</x:v>
      </x:c>
      <x:c r="G279" s="25" t="n">
        <x:v>0.13262</x:v>
      </x:c>
      <x:c r="H279" t="n">
        <x:f>IF(G279&lt;$B$6,1,0)</x:f>
        <x:v>1</x:v>
      </x:c>
      <x:c r="I279" s="26" t="n">
        <x:f>H279*IF(F279=0,E279*$B$7,-E279*$B$8)</x:f>
        <x:v>542.6748</x:v>
      </x:c>
    </x:row>
    <x:row r="280">
      <x:c r="A280" t="n">
        <x:v>7001</x:v>
      </x:c>
      <x:c r="B280" t="str">
        <x:v>2024-07</x:v>
      </x:c>
      <x:c r="C280" t="str">
        <x:v>Self employed</x:v>
      </x:c>
      <x:c r="D280" t="str">
        <x:v>Group A</x:v>
      </x:c>
      <x:c r="E280" s="26" t="n">
        <x:v>16367.6</x:v>
      </x:c>
      <x:c r="F280" t="n">
        <x:v>0</x:v>
      </x:c>
      <x:c r="G280" s="25" t="n">
        <x:v>0.5759</x:v>
      </x:c>
      <x:c r="H280" t="n">
        <x:f>IF(G280&lt;$B$6,1,0)</x:f>
        <x:v>0</x:v>
      </x:c>
      <x:c r="I280" s="26" t="n">
        <x:f>H280*IF(F280=0,E280*$B$7,-E280*$B$8)</x:f>
        <x:v>0</x:v>
      </x:c>
    </x:row>
    <x:row r="281">
      <x:c r="A281" t="n">
        <x:v>7029</x:v>
      </x:c>
      <x:c r="B281" t="str">
        <x:v>2024-07</x:v>
      </x:c>
      <x:c r="C281" t="str">
        <x:v>Salaried</x:v>
      </x:c>
      <x:c r="D281" t="str">
        <x:v>Group B</x:v>
      </x:c>
      <x:c r="E281" s="26" t="n">
        <x:v>9035.01</x:v>
      </x:c>
      <x:c r="F281" t="n">
        <x:v>0</x:v>
      </x:c>
      <x:c r="G281" s="25" t="n">
        <x:v>0.103878</x:v>
      </x:c>
      <x:c r="H281" t="n">
        <x:f>IF(G281&lt;$B$6,1,0)</x:f>
        <x:v>1</x:v>
      </x:c>
      <x:c r="I281" s="26" t="n">
        <x:f>H281*IF(F281=0,E281*$B$7,-E281*$B$8)</x:f>
        <x:v>1084.2012</x:v>
      </x:c>
    </x:row>
    <x:row r="282">
      <x:c r="A282" t="n">
        <x:v>7032</x:v>
      </x:c>
      <x:c r="B282" t="str">
        <x:v>2024-07</x:v>
      </x:c>
      <x:c r="C282" t="str">
        <x:v>Contract</x:v>
      </x:c>
      <x:c r="D282" t="str">
        <x:v>Group A</x:v>
      </x:c>
      <x:c r="E282" s="26" t="n">
        <x:v>9239.31</x:v>
      </x:c>
      <x:c r="F282" t="n">
        <x:v>1</x:v>
      </x:c>
      <x:c r="G282" s="25" t="n">
        <x:v>0.653392</x:v>
      </x:c>
      <x:c r="H282" t="n">
        <x:f>IF(G282&lt;$B$6,1,0)</x:f>
        <x:v>0</x:v>
      </x:c>
      <x:c r="I282" s="26" t="n">
        <x:f>H282*IF(F282=0,E282*$B$7,-E282*$B$8)</x:f>
        <x:v>0</x:v>
      </x:c>
    </x:row>
    <x:row r="283">
      <x:c r="A283" t="n">
        <x:v>7049</x:v>
      </x:c>
      <x:c r="B283" t="str">
        <x:v>2024-07</x:v>
      </x:c>
      <x:c r="C283" t="str">
        <x:v>Salaried</x:v>
      </x:c>
      <x:c r="D283" t="str">
        <x:v>Group B</x:v>
      </x:c>
      <x:c r="E283" s="26" t="n">
        <x:v>13338.34</x:v>
      </x:c>
      <x:c r="F283" t="n">
        <x:v>0</x:v>
      </x:c>
      <x:c r="G283" s="25" t="n">
        <x:v>0.051024</x:v>
      </x:c>
      <x:c r="H283" t="n">
        <x:f>IF(G283&lt;$B$6,1,0)</x:f>
        <x:v>1</x:v>
      </x:c>
      <x:c r="I283" s="26" t="n">
        <x:f>H283*IF(F283=0,E283*$B$7,-E283*$B$8)</x:f>
        <x:v>1600.6008</x:v>
      </x:c>
    </x:row>
    <x:row r="284">
      <x:c r="A284" t="n">
        <x:v>7053</x:v>
      </x:c>
      <x:c r="B284" t="str">
        <x:v>2024-07</x:v>
      </x:c>
      <x:c r="C284" t="str">
        <x:v>Self employed</x:v>
      </x:c>
      <x:c r="D284" t="str">
        <x:v>Group A</x:v>
      </x:c>
      <x:c r="E284" s="26" t="n">
        <x:v>9800.39</x:v>
      </x:c>
      <x:c r="F284" t="n">
        <x:v>1</x:v>
      </x:c>
      <x:c r="G284" s="25" t="n">
        <x:v>0.507344</x:v>
      </x:c>
      <x:c r="H284" t="n">
        <x:f>IF(G284&lt;$B$6,1,0)</x:f>
        <x:v>0</x:v>
      </x:c>
      <x:c r="I284" s="26" t="n">
        <x:f>H284*IF(F284=0,E284*$B$7,-E284*$B$8)</x:f>
        <x:v>0</x:v>
      </x:c>
    </x:row>
    <x:row r="285">
      <x:c r="A285" t="n">
        <x:v>7066</x:v>
      </x:c>
      <x:c r="B285" t="str">
        <x:v>2024-07</x:v>
      </x:c>
      <x:c r="C285" t="str">
        <x:v>Contract</x:v>
      </x:c>
      <x:c r="D285" t="str">
        <x:v>Group B</x:v>
      </x:c>
      <x:c r="E285" s="26" t="n">
        <x:v>47264.45</x:v>
      </x:c>
      <x:c r="F285" t="n">
        <x:v>0</x:v>
      </x:c>
      <x:c r="G285" s="25" t="n">
        <x:v>0.279216</x:v>
      </x:c>
      <x:c r="H285" t="n">
        <x:f>IF(G285&lt;$B$6,1,0)</x:f>
        <x:v>0</x:v>
      </x:c>
      <x:c r="I285" s="26" t="n">
        <x:f>H285*IF(F285=0,E285*$B$7,-E285*$B$8)</x:f>
        <x:v>0</x:v>
      </x:c>
    </x:row>
    <x:row r="286">
      <x:c r="A286" t="n">
        <x:v>7070</x:v>
      </x:c>
      <x:c r="B286" t="str">
        <x:v>2024-07</x:v>
      </x:c>
      <x:c r="C286" t="str">
        <x:v>Salaried</x:v>
      </x:c>
      <x:c r="D286" t="str">
        <x:v>Group A</x:v>
      </x:c>
      <x:c r="E286" s="26" t="n">
        <x:v>17086.89</x:v>
      </x:c>
      <x:c r="F286" t="n">
        <x:v>0</x:v>
      </x:c>
      <x:c r="G286" s="25" t="n">
        <x:v>0.121758</x:v>
      </x:c>
      <x:c r="H286" t="n">
        <x:f>IF(G286&lt;$B$6,1,0)</x:f>
        <x:v>1</x:v>
      </x:c>
      <x:c r="I286" s="26" t="n">
        <x:f>H286*IF(F286=0,E286*$B$7,-E286*$B$8)</x:f>
        <x:v>2050.4267999999997</x:v>
      </x:c>
    </x:row>
    <x:row r="287">
      <x:c r="A287" t="n">
        <x:v>7145</x:v>
      </x:c>
      <x:c r="B287" t="str">
        <x:v>2024-07</x:v>
      </x:c>
      <x:c r="C287" t="str">
        <x:v>Salaried</x:v>
      </x:c>
      <x:c r="D287" t="str">
        <x:v>Group A</x:v>
      </x:c>
      <x:c r="E287" s="26" t="n">
        <x:v>12710.05</x:v>
      </x:c>
      <x:c r="F287" t="n">
        <x:v>0</x:v>
      </x:c>
      <x:c r="G287" s="25" t="n">
        <x:v>0.056224</x:v>
      </x:c>
      <x:c r="H287" t="n">
        <x:f>IF(G287&lt;$B$6,1,0)</x:f>
        <x:v>1</x:v>
      </x:c>
      <x:c r="I287" s="26" t="n">
        <x:f>H287*IF(F287=0,E287*$B$7,-E287*$B$8)</x:f>
        <x:v>1525.206</x:v>
      </x:c>
    </x:row>
    <x:row r="288">
      <x:c r="A288" t="n">
        <x:v>7225</x:v>
      </x:c>
      <x:c r="B288" t="str">
        <x:v>2024-07</x:v>
      </x:c>
      <x:c r="C288" t="str">
        <x:v>Contract</x:v>
      </x:c>
      <x:c r="D288" t="str">
        <x:v>Group B</x:v>
      </x:c>
      <x:c r="E288" s="26" t="n">
        <x:v>14294.65</x:v>
      </x:c>
      <x:c r="F288" t="n">
        <x:v>0</x:v>
      </x:c>
      <x:c r="G288" s="25" t="n">
        <x:v>0.394082</x:v>
      </x:c>
      <x:c r="H288" t="n">
        <x:f>IF(G288&lt;$B$6,1,0)</x:f>
        <x:v>0</x:v>
      </x:c>
      <x:c r="I288" s="26" t="n">
        <x:f>H288*IF(F288=0,E288*$B$7,-E288*$B$8)</x:f>
        <x:v>0</x:v>
      </x:c>
    </x:row>
    <x:row r="289">
      <x:c r="A289" t="n">
        <x:v>7234</x:v>
      </x:c>
      <x:c r="B289" t="str">
        <x:v>2024-07</x:v>
      </x:c>
      <x:c r="C289" t="str">
        <x:v>Self employed</x:v>
      </x:c>
      <x:c r="D289" t="str">
        <x:v>Group A</x:v>
      </x:c>
      <x:c r="E289" s="26" t="n">
        <x:v>3683.17</x:v>
      </x:c>
      <x:c r="F289" t="n">
        <x:v>0</x:v>
      </x:c>
      <x:c r="G289" s="25" t="n">
        <x:v>0.374111</x:v>
      </x:c>
      <x:c r="H289" t="n">
        <x:f>IF(G289&lt;$B$6,1,0)</x:f>
        <x:v>0</x:v>
      </x:c>
      <x:c r="I289" s="26" t="n">
        <x:f>H289*IF(F289=0,E289*$B$7,-E289*$B$8)</x:f>
        <x:v>0</x:v>
      </x:c>
    </x:row>
    <x:row r="290">
      <x:c r="A290" t="n">
        <x:v>7273</x:v>
      </x:c>
      <x:c r="B290" t="str">
        <x:v>2024-07</x:v>
      </x:c>
      <x:c r="C290" t="str">
        <x:v>Contract</x:v>
      </x:c>
      <x:c r="D290" t="str">
        <x:v>Group A</x:v>
      </x:c>
      <x:c r="E290" s="26" t="n">
        <x:v>10966.41</x:v>
      </x:c>
      <x:c r="F290" t="n">
        <x:v>1</x:v>
      </x:c>
      <x:c r="G290" s="25" t="n">
        <x:v>0.137811</x:v>
      </x:c>
      <x:c r="H290" t="n">
        <x:f>IF(G290&lt;$B$6,1,0)</x:f>
        <x:v>1</x:v>
      </x:c>
      <x:c r="I290" s="26" t="n">
        <x:f>H290*IF(F290=0,E290*$B$7,-E290*$B$8)</x:f>
        <x:v>-7128.1665</x:v>
      </x:c>
    </x:row>
    <x:row r="291">
      <x:c r="A291" t="n">
        <x:v>7293</x:v>
      </x:c>
      <x:c r="B291" t="str">
        <x:v>2024-07</x:v>
      </x:c>
      <x:c r="C291" t="str">
        <x:v>Salaried</x:v>
      </x:c>
      <x:c r="D291" t="str">
        <x:v>Group A</x:v>
      </x:c>
      <x:c r="E291" s="26" t="n">
        <x:v>8694.39</x:v>
      </x:c>
      <x:c r="F291" t="n">
        <x:v>0</x:v>
      </x:c>
      <x:c r="G291" s="25" t="n">
        <x:v>0.060846</x:v>
      </x:c>
      <x:c r="H291" t="n">
        <x:f>IF(G291&lt;$B$6,1,0)</x:f>
        <x:v>1</x:v>
      </x:c>
      <x:c r="I291" s="26" t="n">
        <x:f>H291*IF(F291=0,E291*$B$7,-E291*$B$8)</x:f>
        <x:v>1043.3267999999998</x:v>
      </x:c>
    </x:row>
    <x:row r="292">
      <x:c r="A292" t="n">
        <x:v>7356</x:v>
      </x:c>
      <x:c r="B292" t="str">
        <x:v>2024-07</x:v>
      </x:c>
      <x:c r="C292" t="str">
        <x:v>Salaried</x:v>
      </x:c>
      <x:c r="D292" t="str">
        <x:v>Group B</x:v>
      </x:c>
      <x:c r="E292" s="26" t="n">
        <x:v>16214.03</x:v>
      </x:c>
      <x:c r="F292" t="n">
        <x:v>0</x:v>
      </x:c>
      <x:c r="G292" s="25" t="n">
        <x:v>0.098906</x:v>
      </x:c>
      <x:c r="H292" t="n">
        <x:f>IF(G292&lt;$B$6,1,0)</x:f>
        <x:v>1</x:v>
      </x:c>
      <x:c r="I292" s="26" t="n">
        <x:f>H292*IF(F292=0,E292*$B$7,-E292*$B$8)</x:f>
        <x:v>1945.6836</x:v>
      </x:c>
    </x:row>
    <x:row r="293">
      <x:c r="A293" t="n">
        <x:v>7381</x:v>
      </x:c>
      <x:c r="B293" t="str">
        <x:v>2024-07</x:v>
      </x:c>
      <x:c r="C293" t="str">
        <x:v>Salaried</x:v>
      </x:c>
      <x:c r="D293" t="str">
        <x:v>Group B</x:v>
      </x:c>
      <x:c r="E293" s="26" t="n">
        <x:v>16400.31</x:v>
      </x:c>
      <x:c r="F293" t="n">
        <x:v>0</x:v>
      </x:c>
      <x:c r="G293" s="25" t="n">
        <x:v>0.062359</x:v>
      </x:c>
      <x:c r="H293" t="n">
        <x:f>IF(G293&lt;$B$6,1,0)</x:f>
        <x:v>1</x:v>
      </x:c>
      <x:c r="I293" s="26" t="n">
        <x:f>H293*IF(F293=0,E293*$B$7,-E293*$B$8)</x:f>
        <x:v>1968.0372</x:v>
      </x:c>
    </x:row>
    <x:row r="294">
      <x:c r="A294" t="n">
        <x:v>7395</x:v>
      </x:c>
      <x:c r="B294" t="str">
        <x:v>2024-07</x:v>
      </x:c>
      <x:c r="C294" t="str">
        <x:v>Salaried</x:v>
      </x:c>
      <x:c r="D294" t="str">
        <x:v>Group A</x:v>
      </x:c>
      <x:c r="E294" s="26" t="n">
        <x:v>13253.35</x:v>
      </x:c>
      <x:c r="F294" t="n">
        <x:v>0</x:v>
      </x:c>
      <x:c r="G294" s="25" t="n">
        <x:v>0.343477</x:v>
      </x:c>
      <x:c r="H294" t="n">
        <x:f>IF(G294&lt;$B$6,1,0)</x:f>
        <x:v>0</x:v>
      </x:c>
      <x:c r="I294" s="26" t="n">
        <x:f>H294*IF(F294=0,E294*$B$7,-E294*$B$8)</x:f>
        <x:v>0</x:v>
      </x:c>
    </x:row>
    <x:row r="295">
      <x:c r="A295" t="n">
        <x:v>7416</x:v>
      </x:c>
      <x:c r="B295" t="str">
        <x:v>2024-07</x:v>
      </x:c>
      <x:c r="C295" t="str">
        <x:v>Salaried</x:v>
      </x:c>
      <x:c r="D295" t="str">
        <x:v>Group B</x:v>
      </x:c>
      <x:c r="E295" s="26" t="n">
        <x:v>37882.61</x:v>
      </x:c>
      <x:c r="F295" t="n">
        <x:v>0</x:v>
      </x:c>
      <x:c r="G295" s="25" t="n">
        <x:v>0.121858</x:v>
      </x:c>
      <x:c r="H295" t="n">
        <x:f>IF(G295&lt;$B$6,1,0)</x:f>
        <x:v>1</x:v>
      </x:c>
      <x:c r="I295" s="26" t="n">
        <x:f>H295*IF(F295=0,E295*$B$7,-E295*$B$8)</x:f>
        <x:v>4545.9132</x:v>
      </x:c>
    </x:row>
    <x:row r="296">
      <x:c r="A296" t="n">
        <x:v>7421</x:v>
      </x:c>
      <x:c r="B296" t="str">
        <x:v>2024-07</x:v>
      </x:c>
      <x:c r="C296" t="str">
        <x:v>Salaried</x:v>
      </x:c>
      <x:c r="D296" t="str">
        <x:v>Group B</x:v>
      </x:c>
      <x:c r="E296" s="26" t="n">
        <x:v>24469.39</x:v>
      </x:c>
      <x:c r="F296" t="n">
        <x:v>0</x:v>
      </x:c>
      <x:c r="G296" s="25" t="n">
        <x:v>0.041745</x:v>
      </x:c>
      <x:c r="H296" t="n">
        <x:f>IF(G296&lt;$B$6,1,0)</x:f>
        <x:v>1</x:v>
      </x:c>
      <x:c r="I296" s="26" t="n">
        <x:f>H296*IF(F296=0,E296*$B$7,-E296*$B$8)</x:f>
        <x:v>2936.3268</x:v>
      </x:c>
    </x:row>
    <x:row r="297">
      <x:c r="A297" t="n">
        <x:v>7504</x:v>
      </x:c>
      <x:c r="B297" t="str">
        <x:v>2024-07</x:v>
      </x:c>
      <x:c r="C297" t="str">
        <x:v>Contract</x:v>
      </x:c>
      <x:c r="D297" t="str">
        <x:v>Group B</x:v>
      </x:c>
      <x:c r="E297" s="26" t="n">
        <x:v>10121.49</x:v>
      </x:c>
      <x:c r="F297" t="n">
        <x:v>0</x:v>
      </x:c>
      <x:c r="G297" s="25" t="n">
        <x:v>0.301584</x:v>
      </x:c>
      <x:c r="H297" t="n">
        <x:f>IF(G297&lt;$B$6,1,0)</x:f>
        <x:v>0</x:v>
      </x:c>
      <x:c r="I297" s="26" t="n">
        <x:f>H297*IF(F297=0,E297*$B$7,-E297*$B$8)</x:f>
        <x:v>0</x:v>
      </x:c>
    </x:row>
    <x:row r="298">
      <x:c r="A298" t="n">
        <x:v>7533</x:v>
      </x:c>
      <x:c r="B298" t="str">
        <x:v>2024-07</x:v>
      </x:c>
      <x:c r="C298" t="str">
        <x:v>Salaried</x:v>
      </x:c>
      <x:c r="D298" t="str">
        <x:v>Group B</x:v>
      </x:c>
      <x:c r="E298" s="26" t="n">
        <x:v>19818.17</x:v>
      </x:c>
      <x:c r="F298" t="n">
        <x:v>1</x:v>
      </x:c>
      <x:c r="G298" s="25" t="n">
        <x:v>0.542088</x:v>
      </x:c>
      <x:c r="H298" t="n">
        <x:f>IF(G298&lt;$B$6,1,0)</x:f>
        <x:v>0</x:v>
      </x:c>
      <x:c r="I298" s="26" t="n">
        <x:f>H298*IF(F298=0,E298*$B$7,-E298*$B$8)</x:f>
        <x:v>0</x:v>
      </x:c>
    </x:row>
    <x:row r="299">
      <x:c r="A299" t="n">
        <x:v>7543</x:v>
      </x:c>
      <x:c r="B299" t="str">
        <x:v>2024-07</x:v>
      </x:c>
      <x:c r="C299" t="str">
        <x:v>Contract</x:v>
      </x:c>
      <x:c r="D299" t="str">
        <x:v>Group B</x:v>
      </x:c>
      <x:c r="E299" s="26" t="n">
        <x:v>18245.29</x:v>
      </x:c>
      <x:c r="F299" t="n">
        <x:v>0</x:v>
      </x:c>
      <x:c r="G299" s="25" t="n">
        <x:v>0.031656</x:v>
      </x:c>
      <x:c r="H299" t="n">
        <x:f>IF(G299&lt;$B$6,1,0)</x:f>
        <x:v>1</x:v>
      </x:c>
      <x:c r="I299" s="26" t="n">
        <x:f>H299*IF(F299=0,E299*$B$7,-E299*$B$8)</x:f>
        <x:v>2189.4348</x:v>
      </x:c>
    </x:row>
    <x:row r="300">
      <x:c r="A300" t="n">
        <x:v>7559</x:v>
      </x:c>
      <x:c r="B300" t="str">
        <x:v>2024-07</x:v>
      </x:c>
      <x:c r="C300" t="str">
        <x:v>Salaried</x:v>
      </x:c>
      <x:c r="D300" t="str">
        <x:v>Group A</x:v>
      </x:c>
      <x:c r="E300" s="26" t="n">
        <x:v>19509.01</x:v>
      </x:c>
      <x:c r="F300" t="n">
        <x:v>0</x:v>
      </x:c>
      <x:c r="G300" s="25" t="n">
        <x:v>0.074938</x:v>
      </x:c>
      <x:c r="H300" t="n">
        <x:f>IF(G300&lt;$B$6,1,0)</x:f>
        <x:v>1</x:v>
      </x:c>
      <x:c r="I300" s="26" t="n">
        <x:f>H300*IF(F300=0,E300*$B$7,-E300*$B$8)</x:f>
        <x:v>2341.0811999999996</x:v>
      </x:c>
    </x:row>
    <x:row r="301">
      <x:c r="A301" t="n">
        <x:v>7571</x:v>
      </x:c>
      <x:c r="B301" t="str">
        <x:v>2024-07</x:v>
      </x:c>
      <x:c r="C301" t="str">
        <x:v>Self employed</x:v>
      </x:c>
      <x:c r="D301" t="str">
        <x:v>Group B</x:v>
      </x:c>
      <x:c r="E301" s="26" t="n">
        <x:v>3570.45</x:v>
      </x:c>
      <x:c r="F301" t="n">
        <x:v>0</x:v>
      </x:c>
      <x:c r="G301" s="25" t="n">
        <x:v>0.170488</x:v>
      </x:c>
      <x:c r="H301" t="n">
        <x:f>IF(G301&lt;$B$6,1,0)</x:f>
        <x:v>0</x:v>
      </x:c>
      <x:c r="I301" s="26" t="n">
        <x:f>H301*IF(F301=0,E301*$B$7,-E301*$B$8)</x:f>
        <x:v>0</x:v>
      </x:c>
    </x:row>
    <x:row r="302">
      <x:c r="A302" t="n">
        <x:v>7584</x:v>
      </x:c>
      <x:c r="B302" t="str">
        <x:v>2024-07</x:v>
      </x:c>
      <x:c r="C302" t="str">
        <x:v>Salaried</x:v>
      </x:c>
      <x:c r="D302" t="str">
        <x:v>Group A</x:v>
      </x:c>
      <x:c r="E302" s="26" t="n">
        <x:v>46409.17</x:v>
      </x:c>
      <x:c r="F302" t="n">
        <x:v>0</x:v>
      </x:c>
      <x:c r="G302" s="25" t="n">
        <x:v>0.199814</x:v>
      </x:c>
      <x:c r="H302" t="n">
        <x:f>IF(G302&lt;$B$6,1,0)</x:f>
        <x:v>0</x:v>
      </x:c>
      <x:c r="I302" s="26" t="n">
        <x:f>H302*IF(F302=0,E302*$B$7,-E302*$B$8)</x:f>
        <x:v>0</x:v>
      </x:c>
    </x:row>
    <x:row r="303">
      <x:c r="A303" t="n">
        <x:v>7590</x:v>
      </x:c>
      <x:c r="B303" t="str">
        <x:v>2024-07</x:v>
      </x:c>
      <x:c r="C303" t="str">
        <x:v>Salaried</x:v>
      </x:c>
      <x:c r="D303" t="str">
        <x:v>Group A</x:v>
      </x:c>
      <x:c r="E303" s="26" t="n">
        <x:v>23829.58</x:v>
      </x:c>
      <x:c r="F303" t="n">
        <x:v>0</x:v>
      </x:c>
      <x:c r="G303" s="25" t="n">
        <x:v>0.121575</x:v>
      </x:c>
      <x:c r="H303" t="n">
        <x:f>IF(G303&lt;$B$6,1,0)</x:f>
        <x:v>1</x:v>
      </x:c>
      <x:c r="I303" s="26" t="n">
        <x:f>H303*IF(F303=0,E303*$B$7,-E303*$B$8)</x:f>
        <x:v>2859.5496000000003</x:v>
      </x:c>
    </x:row>
    <x:row r="304">
      <x:c r="A304" t="n">
        <x:v>7606</x:v>
      </x:c>
      <x:c r="B304" t="str">
        <x:v>2024-07</x:v>
      </x:c>
      <x:c r="C304" t="str">
        <x:v>Salaried</x:v>
      </x:c>
      <x:c r="D304" t="str">
        <x:v>Group B</x:v>
      </x:c>
      <x:c r="E304" s="26" t="n">
        <x:v>8393.01</x:v>
      </x:c>
      <x:c r="F304" t="n">
        <x:v>1</x:v>
      </x:c>
      <x:c r="G304" s="25" t="n">
        <x:v>0.148011</x:v>
      </x:c>
      <x:c r="H304" t="n">
        <x:f>IF(G304&lt;$B$6,1,0)</x:f>
        <x:v>1</x:v>
      </x:c>
      <x:c r="I304" s="26" t="n">
        <x:f>H304*IF(F304=0,E304*$B$7,-E304*$B$8)</x:f>
        <x:v>-5455.4565</x:v>
      </x:c>
    </x:row>
    <x:row r="305">
      <x:c r="A305" t="n">
        <x:v>7622</x:v>
      </x:c>
      <x:c r="B305" t="str">
        <x:v>2024-07</x:v>
      </x:c>
      <x:c r="C305" t="str">
        <x:v>Contract</x:v>
      </x:c>
      <x:c r="D305" t="str">
        <x:v>Group A</x:v>
      </x:c>
      <x:c r="E305" s="26" t="n">
        <x:v>14306.96</x:v>
      </x:c>
      <x:c r="F305" t="n">
        <x:v>0</x:v>
      </x:c>
      <x:c r="G305" s="25" t="n">
        <x:v>0.495797</x:v>
      </x:c>
      <x:c r="H305" t="n">
        <x:f>IF(G305&lt;$B$6,1,0)</x:f>
        <x:v>0</x:v>
      </x:c>
      <x:c r="I305" s="26" t="n">
        <x:f>H305*IF(F305=0,E305*$B$7,-E305*$B$8)</x:f>
        <x:v>0</x:v>
      </x:c>
    </x:row>
    <x:row r="306">
      <x:c r="A306" t="n">
        <x:v>7660</x:v>
      </x:c>
      <x:c r="B306" t="str">
        <x:v>2024-07</x:v>
      </x:c>
      <x:c r="C306" t="str">
        <x:v>Salaried</x:v>
      </x:c>
      <x:c r="D306" t="str">
        <x:v>Group A</x:v>
      </x:c>
      <x:c r="E306" s="26" t="n">
        <x:v>5226.51</x:v>
      </x:c>
      <x:c r="F306" t="n">
        <x:v>0</x:v>
      </x:c>
      <x:c r="G306" s="25" t="n">
        <x:v>0.101085</x:v>
      </x:c>
      <x:c r="H306" t="n">
        <x:f>IF(G306&lt;$B$6,1,0)</x:f>
        <x:v>1</x:v>
      </x:c>
      <x:c r="I306" s="26" t="n">
        <x:f>H306*IF(F306=0,E306*$B$7,-E306*$B$8)</x:f>
        <x:v>627.1812</x:v>
      </x:c>
    </x:row>
    <x:row r="307">
      <x:c r="A307" t="n">
        <x:v>7685</x:v>
      </x:c>
      <x:c r="B307" t="str">
        <x:v>2024-07</x:v>
      </x:c>
      <x:c r="C307" t="str">
        <x:v>Self employed</x:v>
      </x:c>
      <x:c r="D307" t="str">
        <x:v>Group A</x:v>
      </x:c>
      <x:c r="E307" s="26" t="n">
        <x:v>13860.4</x:v>
      </x:c>
      <x:c r="F307" t="n">
        <x:v>0</x:v>
      </x:c>
      <x:c r="G307" s="25" t="n">
        <x:v>0.194401</x:v>
      </x:c>
      <x:c r="H307" t="n">
        <x:f>IF(G307&lt;$B$6,1,0)</x:f>
        <x:v>0</x:v>
      </x:c>
      <x:c r="I307" s="26" t="n">
        <x:f>H307*IF(F307=0,E307*$B$7,-E307*$B$8)</x:f>
        <x:v>0</x:v>
      </x:c>
    </x:row>
    <x:row r="308">
      <x:c r="A308" t="n">
        <x:v>7702</x:v>
      </x:c>
      <x:c r="B308" t="str">
        <x:v>2024-07</x:v>
      </x:c>
      <x:c r="C308" t="str">
        <x:v>Salaried</x:v>
      </x:c>
      <x:c r="D308" t="str">
        <x:v>Group A</x:v>
      </x:c>
      <x:c r="E308" s="26" t="n">
        <x:v>12346.46</x:v>
      </x:c>
      <x:c r="F308" t="n">
        <x:v>0</x:v>
      </x:c>
      <x:c r="G308" s="25" t="n">
        <x:v>0.245673</x:v>
      </x:c>
      <x:c r="H308" t="n">
        <x:f>IF(G308&lt;$B$6,1,0)</x:f>
        <x:v>0</x:v>
      </x:c>
      <x:c r="I308" s="26" t="n">
        <x:f>H308*IF(F308=0,E308*$B$7,-E308*$B$8)</x:f>
        <x:v>0</x:v>
      </x:c>
    </x:row>
    <x:row r="309">
      <x:c r="A309" t="n">
        <x:v>7723</x:v>
      </x:c>
      <x:c r="B309" t="str">
        <x:v>2024-07</x:v>
      </x:c>
      <x:c r="C309" t="str">
        <x:v>Self employed</x:v>
      </x:c>
      <x:c r="D309" t="str">
        <x:v>Group A</x:v>
      </x:c>
      <x:c r="E309" s="26" t="n">
        <x:v>12853</x:v>
      </x:c>
      <x:c r="F309" t="n">
        <x:v>1</x:v>
      </x:c>
      <x:c r="G309" s="25" t="n">
        <x:v>0.22744</x:v>
      </x:c>
      <x:c r="H309" t="n">
        <x:f>IF(G309&lt;$B$6,1,0)</x:f>
        <x:v>0</x:v>
      </x:c>
      <x:c r="I309" s="26" t="n">
        <x:f>H309*IF(F309=0,E309*$B$7,-E309*$B$8)</x:f>
        <x:v>0</x:v>
      </x:c>
    </x:row>
    <x:row r="310">
      <x:c r="A310" t="n">
        <x:v>7725</x:v>
      </x:c>
      <x:c r="B310" t="str">
        <x:v>2024-07</x:v>
      </x:c>
      <x:c r="C310" t="str">
        <x:v>Salaried</x:v>
      </x:c>
      <x:c r="D310" t="str">
        <x:v>Group A</x:v>
      </x:c>
      <x:c r="E310" s="26" t="n">
        <x:v>28156.18</x:v>
      </x:c>
      <x:c r="F310" t="n">
        <x:v>0</x:v>
      </x:c>
      <x:c r="G310" s="25" t="n">
        <x:v>0.075131</x:v>
      </x:c>
      <x:c r="H310" t="n">
        <x:f>IF(G310&lt;$B$6,1,0)</x:f>
        <x:v>1</x:v>
      </x:c>
      <x:c r="I310" s="26" t="n">
        <x:f>H310*IF(F310=0,E310*$B$7,-E310*$B$8)</x:f>
        <x:v>3378.7416</x:v>
      </x:c>
    </x:row>
    <x:row r="311">
      <x:c r="A311" t="n">
        <x:v>7755</x:v>
      </x:c>
      <x:c r="B311" t="str">
        <x:v>2024-07</x:v>
      </x:c>
      <x:c r="C311" t="str">
        <x:v>Salaried</x:v>
      </x:c>
      <x:c r="D311" t="str">
        <x:v>Group B</x:v>
      </x:c>
      <x:c r="E311" s="26" t="n">
        <x:v>7487.35</x:v>
      </x:c>
      <x:c r="F311" t="n">
        <x:v>0</x:v>
      </x:c>
      <x:c r="G311" s="25" t="n">
        <x:v>0.145639</x:v>
      </x:c>
      <x:c r="H311" t="n">
        <x:f>IF(G311&lt;$B$6,1,0)</x:f>
        <x:v>1</x:v>
      </x:c>
      <x:c r="I311" s="26" t="n">
        <x:f>H311*IF(F311=0,E311*$B$7,-E311*$B$8)</x:f>
        <x:v>898.482</x:v>
      </x:c>
    </x:row>
    <x:row r="312">
      <x:c r="A312" t="n">
        <x:v>7774</x:v>
      </x:c>
      <x:c r="B312" t="str">
        <x:v>2024-07</x:v>
      </x:c>
      <x:c r="C312" t="str">
        <x:v>Salaried</x:v>
      </x:c>
      <x:c r="D312" t="str">
        <x:v>Group A</x:v>
      </x:c>
      <x:c r="E312" s="26" t="n">
        <x:v>29043.72</x:v>
      </x:c>
      <x:c r="F312" t="n">
        <x:v>1</x:v>
      </x:c>
      <x:c r="G312" s="25" t="n">
        <x:v>0.110063</x:v>
      </x:c>
      <x:c r="H312" t="n">
        <x:f>IF(G312&lt;$B$6,1,0)</x:f>
        <x:v>1</x:v>
      </x:c>
      <x:c r="I312" s="26" t="n">
        <x:f>H312*IF(F312=0,E312*$B$7,-E312*$B$8)</x:f>
        <x:v>-18878.418</x:v>
      </x:c>
    </x:row>
    <x:row r="313">
      <x:c r="A313" t="n">
        <x:v>7795</x:v>
      </x:c>
      <x:c r="B313" t="str">
        <x:v>2024-07</x:v>
      </x:c>
      <x:c r="C313" t="str">
        <x:v>Self employed</x:v>
      </x:c>
      <x:c r="D313" t="str">
        <x:v>Group A</x:v>
      </x:c>
      <x:c r="E313" s="26" t="n">
        <x:v>17142.14</x:v>
      </x:c>
      <x:c r="F313" t="n">
        <x:v>0</x:v>
      </x:c>
      <x:c r="G313" s="25" t="n">
        <x:v>0.221956</x:v>
      </x:c>
      <x:c r="H313" t="n">
        <x:f>IF(G313&lt;$B$6,1,0)</x:f>
        <x:v>0</x:v>
      </x:c>
      <x:c r="I313" s="26" t="n">
        <x:f>H313*IF(F313=0,E313*$B$7,-E313*$B$8)</x:f>
        <x:v>0</x:v>
      </x:c>
    </x:row>
    <x:row r="314">
      <x:c r="A314" t="n">
        <x:v>7813</x:v>
      </x:c>
      <x:c r="B314" t="str">
        <x:v>2024-07</x:v>
      </x:c>
      <x:c r="C314" t="str">
        <x:v>Salaried</x:v>
      </x:c>
      <x:c r="D314" t="str">
        <x:v>Group B</x:v>
      </x:c>
      <x:c r="E314" s="26" t="n">
        <x:v>37307.03</x:v>
      </x:c>
      <x:c r="F314" t="n">
        <x:v>0</x:v>
      </x:c>
      <x:c r="G314" s="25" t="n">
        <x:v>0.438383</x:v>
      </x:c>
      <x:c r="H314" t="n">
        <x:f>IF(G314&lt;$B$6,1,0)</x:f>
        <x:v>0</x:v>
      </x:c>
      <x:c r="I314" s="26" t="n">
        <x:f>H314*IF(F314=0,E314*$B$7,-E314*$B$8)</x:f>
        <x:v>0</x:v>
      </x:c>
    </x:row>
    <x:row r="315">
      <x:c r="A315" t="n">
        <x:v>7829</x:v>
      </x:c>
      <x:c r="B315" t="str">
        <x:v>2024-07</x:v>
      </x:c>
      <x:c r="C315" t="str">
        <x:v>Salaried</x:v>
      </x:c>
      <x:c r="D315" t="str">
        <x:v>Group B</x:v>
      </x:c>
      <x:c r="E315" s="26" t="n">
        <x:v>21663.76</x:v>
      </x:c>
      <x:c r="F315" t="n">
        <x:v>0</x:v>
      </x:c>
      <x:c r="G315" s="25" t="n">
        <x:v>0.062475</x:v>
      </x:c>
      <x:c r="H315" t="n">
        <x:f>IF(G315&lt;$B$6,1,0)</x:f>
        <x:v>1</x:v>
      </x:c>
      <x:c r="I315" s="26" t="n">
        <x:f>H315*IF(F315=0,E315*$B$7,-E315*$B$8)</x:f>
        <x:v>2599.6512</x:v>
      </x:c>
    </x:row>
    <x:row r="316">
      <x:c r="A316" t="n">
        <x:v>7831</x:v>
      </x:c>
      <x:c r="B316" t="str">
        <x:v>2024-07</x:v>
      </x:c>
      <x:c r="C316" t="str">
        <x:v>Salaried</x:v>
      </x:c>
      <x:c r="D316" t="str">
        <x:v>Group A</x:v>
      </x:c>
      <x:c r="E316" s="26" t="n">
        <x:v>16563.26</x:v>
      </x:c>
      <x:c r="F316" t="n">
        <x:v>0</x:v>
      </x:c>
      <x:c r="G316" s="25" t="n">
        <x:v>0.112562</x:v>
      </x:c>
      <x:c r="H316" t="n">
        <x:f>IF(G316&lt;$B$6,1,0)</x:f>
        <x:v>1</x:v>
      </x:c>
      <x:c r="I316" s="26" t="n">
        <x:f>H316*IF(F316=0,E316*$B$7,-E316*$B$8)</x:f>
        <x:v>1987.5911999999998</x:v>
      </x:c>
    </x:row>
    <x:row r="317">
      <x:c r="A317" t="n">
        <x:v>7885</x:v>
      </x:c>
      <x:c r="B317" t="str">
        <x:v>2024-07</x:v>
      </x:c>
      <x:c r="C317" t="str">
        <x:v>Salaried</x:v>
      </x:c>
      <x:c r="D317" t="str">
        <x:v>Group A</x:v>
      </x:c>
      <x:c r="E317" s="26" t="n">
        <x:v>6996.36</x:v>
      </x:c>
      <x:c r="F317" t="n">
        <x:v>1</x:v>
      </x:c>
      <x:c r="G317" s="25" t="n">
        <x:v>0.200198</x:v>
      </x:c>
      <x:c r="H317" t="n">
        <x:f>IF(G317&lt;$B$6,1,0)</x:f>
        <x:v>0</x:v>
      </x:c>
      <x:c r="I317" s="26" t="n">
        <x:f>H317*IF(F317=0,E317*$B$7,-E317*$B$8)</x:f>
        <x:v>0</x:v>
      </x:c>
    </x:row>
    <x:row r="318">
      <x:c r="A318" t="n">
        <x:v>7886</x:v>
      </x:c>
      <x:c r="B318" t="str">
        <x:v>2024-07</x:v>
      </x:c>
      <x:c r="C318" t="str">
        <x:v>Salaried</x:v>
      </x:c>
      <x:c r="D318" t="str">
        <x:v>Group A</x:v>
      </x:c>
      <x:c r="E318" s="26" t="n">
        <x:v>17599.34</x:v>
      </x:c>
      <x:c r="F318" t="n">
        <x:v>0</x:v>
      </x:c>
      <x:c r="G318" s="25" t="n">
        <x:v>0.220175</x:v>
      </x:c>
      <x:c r="H318" t="n">
        <x:f>IF(G318&lt;$B$6,1,0)</x:f>
        <x:v>0</x:v>
      </x:c>
      <x:c r="I318" s="26" t="n">
        <x:f>H318*IF(F318=0,E318*$B$7,-E318*$B$8)</x:f>
        <x:v>0</x:v>
      </x:c>
    </x:row>
    <x:row r="319">
      <x:c r="A319" t="n">
        <x:v>7899</x:v>
      </x:c>
      <x:c r="B319" t="str">
        <x:v>2024-07</x:v>
      </x:c>
      <x:c r="C319" t="str">
        <x:v>Self employed</x:v>
      </x:c>
      <x:c r="D319" t="str">
        <x:v>Group B</x:v>
      </x:c>
      <x:c r="E319" s="26" t="n">
        <x:v>8208.23</x:v>
      </x:c>
      <x:c r="F319" t="n">
        <x:v>0</x:v>
      </x:c>
      <x:c r="G319" s="25" t="n">
        <x:v>0.2193</x:v>
      </x:c>
      <x:c r="H319" t="n">
        <x:f>IF(G319&lt;$B$6,1,0)</x:f>
        <x:v>0</x:v>
      </x:c>
      <x:c r="I319" s="26" t="n">
        <x:f>H319*IF(F319=0,E319*$B$7,-E319*$B$8)</x:f>
        <x:v>0</x:v>
      </x:c>
    </x:row>
    <x:row r="320">
      <x:c r="A320" t="n">
        <x:v>7939</x:v>
      </x:c>
      <x:c r="B320" t="str">
        <x:v>2024-07</x:v>
      </x:c>
      <x:c r="C320" t="str">
        <x:v>Salaried</x:v>
      </x:c>
      <x:c r="D320" t="str">
        <x:v>Group B</x:v>
      </x:c>
      <x:c r="E320" s="26" t="n">
        <x:v>6989.13</x:v>
      </x:c>
      <x:c r="F320" t="n">
        <x:v>0</x:v>
      </x:c>
      <x:c r="G320" s="25" t="n">
        <x:v>0.0531</x:v>
      </x:c>
      <x:c r="H320" t="n">
        <x:f>IF(G320&lt;$B$6,1,0)</x:f>
        <x:v>1</x:v>
      </x:c>
      <x:c r="I320" s="26" t="n">
        <x:f>H320*IF(F320=0,E320*$B$7,-E320*$B$8)</x:f>
        <x:v>838.6956</x:v>
      </x:c>
    </x:row>
    <x:row r="321">
      <x:c r="A321" t="n">
        <x:v>7947</x:v>
      </x:c>
      <x:c r="B321" t="str">
        <x:v>2024-07</x:v>
      </x:c>
      <x:c r="C321" t="str">
        <x:v>Contract</x:v>
      </x:c>
      <x:c r="D321" t="str">
        <x:v>Group B</x:v>
      </x:c>
      <x:c r="E321" s="26" t="n">
        <x:v>5576.12</x:v>
      </x:c>
      <x:c r="F321" t="n">
        <x:v>1</x:v>
      </x:c>
      <x:c r="G321" s="25" t="n">
        <x:v>0.538574</x:v>
      </x:c>
      <x:c r="H321" t="n">
        <x:f>IF(G321&lt;$B$6,1,0)</x:f>
        <x:v>0</x:v>
      </x:c>
      <x:c r="I321" s="26" t="n">
        <x:f>H321*IF(F321=0,E321*$B$7,-E321*$B$8)</x:f>
        <x:v>0</x:v>
      </x:c>
    </x:row>
    <x:row r="322">
      <x:c r="A322" t="n">
        <x:v>7985</x:v>
      </x:c>
      <x:c r="B322" t="str">
        <x:v>2024-07</x:v>
      </x:c>
      <x:c r="C322" t="str">
        <x:v>Self employed</x:v>
      </x:c>
      <x:c r="D322" t="str">
        <x:v>Group A</x:v>
      </x:c>
      <x:c r="E322" s="26" t="n">
        <x:v>19463.85</x:v>
      </x:c>
      <x:c r="F322" t="n">
        <x:v>0</x:v>
      </x:c>
      <x:c r="G322" s="25" t="n">
        <x:v>0.07669</x:v>
      </x:c>
      <x:c r="H322" t="n">
        <x:f>IF(G322&lt;$B$6,1,0)</x:f>
        <x:v>1</x:v>
      </x:c>
      <x:c r="I322" s="26" t="n">
        <x:f>H322*IF(F322=0,E322*$B$7,-E322*$B$8)</x:f>
        <x:v>2335.662</x:v>
      </x:c>
    </x:row>
    <x:row r="323">
      <x:c r="A323" t="n">
        <x:v>8016</x:v>
      </x:c>
      <x:c r="B323" t="str">
        <x:v>2024-07</x:v>
      </x:c>
      <x:c r="C323" t="str">
        <x:v>Salaried</x:v>
      </x:c>
      <x:c r="D323" t="str">
        <x:v>Group A</x:v>
      </x:c>
      <x:c r="E323" s="26" t="n">
        <x:v>22576.17</x:v>
      </x:c>
      <x:c r="F323" t="n">
        <x:v>0</x:v>
      </x:c>
      <x:c r="G323" s="25" t="n">
        <x:v>0.144222</x:v>
      </x:c>
      <x:c r="H323" t="n">
        <x:f>IF(G323&lt;$B$6,1,0)</x:f>
        <x:v>1</x:v>
      </x:c>
      <x:c r="I323" s="26" t="n">
        <x:f>H323*IF(F323=0,E323*$B$7,-E323*$B$8)</x:f>
        <x:v>2709.1403999999998</x:v>
      </x:c>
    </x:row>
    <x:row r="324">
      <x:c r="A324" t="n">
        <x:v>8037</x:v>
      </x:c>
      <x:c r="B324" t="str">
        <x:v>2024-07</x:v>
      </x:c>
      <x:c r="C324" t="str">
        <x:v>Salaried</x:v>
      </x:c>
      <x:c r="D324" t="str">
        <x:v>Group B</x:v>
      </x:c>
      <x:c r="E324" s="26" t="n">
        <x:v>10524.04</x:v>
      </x:c>
      <x:c r="F324" t="n">
        <x:v>1</x:v>
      </x:c>
      <x:c r="G324" s="25" t="n">
        <x:v>0.076447</x:v>
      </x:c>
      <x:c r="H324" t="n">
        <x:f>IF(G324&lt;$B$6,1,0)</x:f>
        <x:v>1</x:v>
      </x:c>
      <x:c r="I324" s="26" t="n">
        <x:f>H324*IF(F324=0,E324*$B$7,-E324*$B$8)</x:f>
        <x:v>-6840.626000000001</x:v>
      </x:c>
    </x:row>
    <x:row r="325">
      <x:c r="A325" t="n">
        <x:v>8056</x:v>
      </x:c>
      <x:c r="B325" t="str">
        <x:v>2024-07</x:v>
      </x:c>
      <x:c r="C325" t="str">
        <x:v>Salaried</x:v>
      </x:c>
      <x:c r="D325" t="str">
        <x:v>Group B</x:v>
      </x:c>
      <x:c r="E325" s="26" t="n">
        <x:v>21298.91</x:v>
      </x:c>
      <x:c r="F325" t="n">
        <x:v>1</x:v>
      </x:c>
      <x:c r="G325" s="25" t="n">
        <x:v>0.264869</x:v>
      </x:c>
      <x:c r="H325" t="n">
        <x:f>IF(G325&lt;$B$6,1,0)</x:f>
        <x:v>0</x:v>
      </x:c>
      <x:c r="I325" s="26" t="n">
        <x:f>H325*IF(F325=0,E325*$B$7,-E325*$B$8)</x:f>
        <x:v>0</x:v>
      </x:c>
    </x:row>
    <x:row r="326">
      <x:c r="A326" t="n">
        <x:v>8069</x:v>
      </x:c>
      <x:c r="B326" t="str">
        <x:v>2024-07</x:v>
      </x:c>
      <x:c r="C326" t="str">
        <x:v>Self employed</x:v>
      </x:c>
      <x:c r="D326" t="str">
        <x:v>Group B</x:v>
      </x:c>
      <x:c r="E326" s="26" t="n">
        <x:v>18457.66</x:v>
      </x:c>
      <x:c r="F326" t="n">
        <x:v>0</x:v>
      </x:c>
      <x:c r="G326" s="25" t="n">
        <x:v>0.089439</x:v>
      </x:c>
      <x:c r="H326" t="n">
        <x:f>IF(G326&lt;$B$6,1,0)</x:f>
        <x:v>1</x:v>
      </x:c>
      <x:c r="I326" s="26" t="n">
        <x:f>H326*IF(F326=0,E326*$B$7,-E326*$B$8)</x:f>
        <x:v>2214.9192</x:v>
      </x:c>
    </x:row>
    <x:row r="327">
      <x:c r="A327" t="n">
        <x:v>8070</x:v>
      </x:c>
      <x:c r="B327" t="str">
        <x:v>2024-07</x:v>
      </x:c>
      <x:c r="C327" t="str">
        <x:v>Salaried</x:v>
      </x:c>
      <x:c r="D327" t="str">
        <x:v>Group B</x:v>
      </x:c>
      <x:c r="E327" s="26" t="n">
        <x:v>14892.94</x:v>
      </x:c>
      <x:c r="F327" t="n">
        <x:v>0</x:v>
      </x:c>
      <x:c r="G327" s="25" t="n">
        <x:v>0.175971</x:v>
      </x:c>
      <x:c r="H327" t="n">
        <x:f>IF(G327&lt;$B$6,1,0)</x:f>
        <x:v>0</x:v>
      </x:c>
      <x:c r="I327" s="26" t="n">
        <x:f>H327*IF(F327=0,E327*$B$7,-E327*$B$8)</x:f>
        <x:v>0</x:v>
      </x:c>
    </x:row>
    <x:row r="328">
      <x:c r="A328" t="n">
        <x:v>8087</x:v>
      </x:c>
      <x:c r="B328" t="str">
        <x:v>2024-07</x:v>
      </x:c>
      <x:c r="C328" t="str">
        <x:v>Contract</x:v>
      </x:c>
      <x:c r="D328" t="str">
        <x:v>Group A</x:v>
      </x:c>
      <x:c r="E328" s="26" t="n">
        <x:v>50794.14</x:v>
      </x:c>
      <x:c r="F328" t="n">
        <x:v>1</x:v>
      </x:c>
      <x:c r="G328" s="25" t="n">
        <x:v>0.366712</x:v>
      </x:c>
      <x:c r="H328" t="n">
        <x:f>IF(G328&lt;$B$6,1,0)</x:f>
        <x:v>0</x:v>
      </x:c>
      <x:c r="I328" s="26" t="n">
        <x:f>H328*IF(F328=0,E328*$B$7,-E328*$B$8)</x:f>
        <x:v>0</x:v>
      </x:c>
    </x:row>
    <x:row r="329">
      <x:c r="A329" t="n">
        <x:v>8120</x:v>
      </x:c>
      <x:c r="B329" t="str">
        <x:v>2024-07</x:v>
      </x:c>
      <x:c r="C329" t="str">
        <x:v>Salaried</x:v>
      </x:c>
      <x:c r="D329" t="str">
        <x:v>Group A</x:v>
      </x:c>
      <x:c r="E329" s="26" t="n">
        <x:v>5636.3</x:v>
      </x:c>
      <x:c r="F329" t="n">
        <x:v>0</x:v>
      </x:c>
      <x:c r="G329" s="25" t="n">
        <x:v>0.644679</x:v>
      </x:c>
      <x:c r="H329" t="n">
        <x:f>IF(G329&lt;$B$6,1,0)</x:f>
        <x:v>0</x:v>
      </x:c>
      <x:c r="I329" s="26" t="n">
        <x:f>H329*IF(F329=0,E329*$B$7,-E329*$B$8)</x:f>
        <x:v>0</x:v>
      </x:c>
    </x:row>
    <x:row r="330">
      <x:c r="A330" t="n">
        <x:v>8123</x:v>
      </x:c>
      <x:c r="B330" t="str">
        <x:v>2024-07</x:v>
      </x:c>
      <x:c r="C330" t="str">
        <x:v>Contract</x:v>
      </x:c>
      <x:c r="D330" t="str">
        <x:v>Group B</x:v>
      </x:c>
      <x:c r="E330" s="26" t="n">
        <x:v>29640.58</x:v>
      </x:c>
      <x:c r="F330" t="n">
        <x:v>0</x:v>
      </x:c>
      <x:c r="G330" s="25" t="n">
        <x:v>0.137733</x:v>
      </x:c>
      <x:c r="H330" t="n">
        <x:f>IF(G330&lt;$B$6,1,0)</x:f>
        <x:v>1</x:v>
      </x:c>
      <x:c r="I330" s="26" t="n">
        <x:f>H330*IF(F330=0,E330*$B$7,-E330*$B$8)</x:f>
        <x:v>3556.8696</x:v>
      </x:c>
    </x:row>
    <x:row r="331">
      <x:c r="A331" t="n">
        <x:v>8132</x:v>
      </x:c>
      <x:c r="B331" t="str">
        <x:v>2024-07</x:v>
      </x:c>
      <x:c r="C331" t="str">
        <x:v>Salaried</x:v>
      </x:c>
      <x:c r="D331" t="str">
        <x:v>Group B</x:v>
      </x:c>
      <x:c r="E331" s="26" t="n">
        <x:v>12129.8</x:v>
      </x:c>
      <x:c r="F331" t="n">
        <x:v>0</x:v>
      </x:c>
      <x:c r="G331" s="25" t="n">
        <x:v>0.100479</x:v>
      </x:c>
      <x:c r="H331" t="n">
        <x:f>IF(G331&lt;$B$6,1,0)</x:f>
        <x:v>1</x:v>
      </x:c>
      <x:c r="I331" s="26" t="n">
        <x:f>H331*IF(F331=0,E331*$B$7,-E331*$B$8)</x:f>
        <x:v>1455.5759999999998</x:v>
      </x:c>
    </x:row>
    <x:row r="332">
      <x:c r="A332" t="n">
        <x:v>8174</x:v>
      </x:c>
      <x:c r="B332" t="str">
        <x:v>2024-07</x:v>
      </x:c>
      <x:c r="C332" t="str">
        <x:v>Self employed</x:v>
      </x:c>
      <x:c r="D332" t="str">
        <x:v>Group B</x:v>
      </x:c>
      <x:c r="E332" s="26" t="n">
        <x:v>24032.76</x:v>
      </x:c>
      <x:c r="F332" t="n">
        <x:v>0</x:v>
      </x:c>
      <x:c r="G332" s="25" t="n">
        <x:v>0.078567</x:v>
      </x:c>
      <x:c r="H332" t="n">
        <x:f>IF(G332&lt;$B$6,1,0)</x:f>
        <x:v>1</x:v>
      </x:c>
      <x:c r="I332" s="26" t="n">
        <x:f>H332*IF(F332=0,E332*$B$7,-E332*$B$8)</x:f>
        <x:v>2883.9311999999995</x:v>
      </x:c>
    </x:row>
    <x:row r="333">
      <x:c r="A333" t="n">
        <x:v>8195</x:v>
      </x:c>
      <x:c r="B333" t="str">
        <x:v>2024-07</x:v>
      </x:c>
      <x:c r="C333" t="str">
        <x:v>Salaried</x:v>
      </x:c>
      <x:c r="D333" t="str">
        <x:v>Group A</x:v>
      </x:c>
      <x:c r="E333" s="26" t="n">
        <x:v>19641.99</x:v>
      </x:c>
      <x:c r="F333" t="n">
        <x:v>0</x:v>
      </x:c>
      <x:c r="G333" s="25" t="n">
        <x:v>0.058105</x:v>
      </x:c>
      <x:c r="H333" t="n">
        <x:f>IF(G333&lt;$B$6,1,0)</x:f>
        <x:v>1</x:v>
      </x:c>
      <x:c r="I333" s="26" t="n">
        <x:f>H333*IF(F333=0,E333*$B$7,-E333*$B$8)</x:f>
        <x:v>2357.0388000000003</x:v>
      </x:c>
    </x:row>
    <x:row r="334">
      <x:c r="A334" t="n">
        <x:v>8236</x:v>
      </x:c>
      <x:c r="B334" t="str">
        <x:v>2024-07</x:v>
      </x:c>
      <x:c r="C334" t="str">
        <x:v>Salaried</x:v>
      </x:c>
      <x:c r="D334" t="str">
        <x:v>Group B</x:v>
      </x:c>
      <x:c r="E334" s="26" t="n">
        <x:v>3542.59</x:v>
      </x:c>
      <x:c r="F334" t="n">
        <x:v>0</x:v>
      </x:c>
      <x:c r="G334" s="25" t="n">
        <x:v>0.021941</x:v>
      </x:c>
      <x:c r="H334" t="n">
        <x:f>IF(G334&lt;$B$6,1,0)</x:f>
        <x:v>1</x:v>
      </x:c>
      <x:c r="I334" s="26" t="n">
        <x:f>H334*IF(F334=0,E334*$B$7,-E334*$B$8)</x:f>
        <x:v>425.1108</x:v>
      </x:c>
    </x:row>
    <x:row r="335">
      <x:c r="A335" t="n">
        <x:v>8247</x:v>
      </x:c>
      <x:c r="B335" t="str">
        <x:v>2024-07</x:v>
      </x:c>
      <x:c r="C335" t="str">
        <x:v>Salaried</x:v>
      </x:c>
      <x:c r="D335" t="str">
        <x:v>Group A</x:v>
      </x:c>
      <x:c r="E335" s="26" t="n">
        <x:v>18966.51</x:v>
      </x:c>
      <x:c r="F335" t="n">
        <x:v>1</x:v>
      </x:c>
      <x:c r="G335" s="25" t="n">
        <x:v>0.611197</x:v>
      </x:c>
      <x:c r="H335" t="n">
        <x:f>IF(G335&lt;$B$6,1,0)</x:f>
        <x:v>0</x:v>
      </x:c>
      <x:c r="I335" s="26" t="n">
        <x:f>H335*IF(F335=0,E335*$B$7,-E335*$B$8)</x:f>
        <x:v>0</x:v>
      </x:c>
    </x:row>
    <x:row r="336">
      <x:c r="A336" t="n">
        <x:v>8268</x:v>
      </x:c>
      <x:c r="B336" t="str">
        <x:v>2024-07</x:v>
      </x:c>
      <x:c r="C336" t="str">
        <x:v>Contract</x:v>
      </x:c>
      <x:c r="D336" t="str">
        <x:v>Group A</x:v>
      </x:c>
      <x:c r="E336" s="26" t="n">
        <x:v>21332.82</x:v>
      </x:c>
      <x:c r="F336" t="n">
        <x:v>0</x:v>
      </x:c>
      <x:c r="G336" s="25" t="n">
        <x:v>0.067896</x:v>
      </x:c>
      <x:c r="H336" t="n">
        <x:f>IF(G336&lt;$B$6,1,0)</x:f>
        <x:v>1</x:v>
      </x:c>
      <x:c r="I336" s="26" t="n">
        <x:f>H336*IF(F336=0,E336*$B$7,-E336*$B$8)</x:f>
        <x:v>2559.9384</x:v>
      </x:c>
    </x:row>
    <x:row r="337">
      <x:c r="A337" t="n">
        <x:v>8271</x:v>
      </x:c>
      <x:c r="B337" t="str">
        <x:v>2024-07</x:v>
      </x:c>
      <x:c r="C337" t="str">
        <x:v>Salaried</x:v>
      </x:c>
      <x:c r="D337" t="str">
        <x:v>Group A</x:v>
      </x:c>
      <x:c r="E337" s="26" t="n">
        <x:v>41119.19</x:v>
      </x:c>
      <x:c r="F337" t="n">
        <x:v>1</x:v>
      </x:c>
      <x:c r="G337" s="25" t="n">
        <x:v>0.337639</x:v>
      </x:c>
      <x:c r="H337" t="n">
        <x:f>IF(G337&lt;$B$6,1,0)</x:f>
        <x:v>0</x:v>
      </x:c>
      <x:c r="I337" s="26" t="n">
        <x:f>H337*IF(F337=0,E337*$B$7,-E337*$B$8)</x:f>
        <x:v>0</x:v>
      </x:c>
    </x:row>
    <x:row r="338">
      <x:c r="A338" t="n">
        <x:v>8276</x:v>
      </x:c>
      <x:c r="B338" t="str">
        <x:v>2024-07</x:v>
      </x:c>
      <x:c r="C338" t="str">
        <x:v>Salaried</x:v>
      </x:c>
      <x:c r="D338" t="str">
        <x:v>Group B</x:v>
      </x:c>
      <x:c r="E338" s="26" t="n">
        <x:v>11650.68</x:v>
      </x:c>
      <x:c r="F338" t="n">
        <x:v>1</x:v>
      </x:c>
      <x:c r="G338" s="25" t="n">
        <x:v>0.513725</x:v>
      </x:c>
      <x:c r="H338" t="n">
        <x:f>IF(G338&lt;$B$6,1,0)</x:f>
        <x:v>0</x:v>
      </x:c>
      <x:c r="I338" s="26" t="n">
        <x:f>H338*IF(F338=0,E338*$B$7,-E338*$B$8)</x:f>
        <x:v>0</x:v>
      </x:c>
    </x:row>
    <x:row r="339">
      <x:c r="A339" t="n">
        <x:v>8295</x:v>
      </x:c>
      <x:c r="B339" t="str">
        <x:v>2024-07</x:v>
      </x:c>
      <x:c r="C339" t="str">
        <x:v>Salaried</x:v>
      </x:c>
      <x:c r="D339" t="str">
        <x:v>Group A</x:v>
      </x:c>
      <x:c r="E339" s="26" t="n">
        <x:v>13087.38</x:v>
      </x:c>
      <x:c r="F339" t="n">
        <x:v>0</x:v>
      </x:c>
      <x:c r="G339" s="25" t="n">
        <x:v>0.015047</x:v>
      </x:c>
      <x:c r="H339" t="n">
        <x:f>IF(G339&lt;$B$6,1,0)</x:f>
        <x:v>1</x:v>
      </x:c>
      <x:c r="I339" s="26" t="n">
        <x:f>H339*IF(F339=0,E339*$B$7,-E339*$B$8)</x:f>
        <x:v>1570.4855999999997</x:v>
      </x:c>
    </x:row>
    <x:row r="340">
      <x:c r="A340" t="n">
        <x:v>8317</x:v>
      </x:c>
      <x:c r="B340" t="str">
        <x:v>2024-07</x:v>
      </x:c>
      <x:c r="C340" t="str">
        <x:v>Salaried</x:v>
      </x:c>
      <x:c r="D340" t="str">
        <x:v>Group B</x:v>
      </x:c>
      <x:c r="E340" s="26" t="n">
        <x:v>9881.85</x:v>
      </x:c>
      <x:c r="F340" t="n">
        <x:v>0</x:v>
      </x:c>
      <x:c r="G340" s="25" t="n">
        <x:v>0.160024</x:v>
      </x:c>
      <x:c r="H340" t="n">
        <x:f>IF(G340&lt;$B$6,1,0)</x:f>
        <x:v>0</x:v>
      </x:c>
      <x:c r="I340" s="26" t="n">
        <x:f>H340*IF(F340=0,E340*$B$7,-E340*$B$8)</x:f>
        <x:v>0</x:v>
      </x:c>
    </x:row>
    <x:row r="341">
      <x:c r="A341" t="n">
        <x:v>8340</x:v>
      </x:c>
      <x:c r="B341" t="str">
        <x:v>2024-07</x:v>
      </x:c>
      <x:c r="C341" t="str">
        <x:v>Salaried</x:v>
      </x:c>
      <x:c r="D341" t="str">
        <x:v>Group B</x:v>
      </x:c>
      <x:c r="E341" s="26" t="n">
        <x:v>11041.64</x:v>
      </x:c>
      <x:c r="F341" t="n">
        <x:v>0</x:v>
      </x:c>
      <x:c r="G341" s="25" t="n">
        <x:v>0.045944</x:v>
      </x:c>
      <x:c r="H341" t="n">
        <x:f>IF(G341&lt;$B$6,1,0)</x:f>
        <x:v>1</x:v>
      </x:c>
      <x:c r="I341" s="26" t="n">
        <x:f>H341*IF(F341=0,E341*$B$7,-E341*$B$8)</x:f>
        <x:v>1324.9968</x:v>
      </x:c>
    </x:row>
    <x:row r="342">
      <x:c r="A342" t="n">
        <x:v>8348</x:v>
      </x:c>
      <x:c r="B342" t="str">
        <x:v>2024-07</x:v>
      </x:c>
      <x:c r="C342" t="str">
        <x:v>Salaried</x:v>
      </x:c>
      <x:c r="D342" t="str">
        <x:v>Group B</x:v>
      </x:c>
      <x:c r="E342" s="26" t="n">
        <x:v>9291.45</x:v>
      </x:c>
      <x:c r="F342" t="n">
        <x:v>0</x:v>
      </x:c>
      <x:c r="G342" s="25" t="n">
        <x:v>0.137173</x:v>
      </x:c>
      <x:c r="H342" t="n">
        <x:f>IF(G342&lt;$B$6,1,0)</x:f>
        <x:v>1</x:v>
      </x:c>
      <x:c r="I342" s="26" t="n">
        <x:f>H342*IF(F342=0,E342*$B$7,-E342*$B$8)</x:f>
        <x:v>1114.974</x:v>
      </x:c>
    </x:row>
    <x:row r="343">
      <x:c r="A343" t="n">
        <x:v>8360</x:v>
      </x:c>
      <x:c r="B343" t="str">
        <x:v>2024-07</x:v>
      </x:c>
      <x:c r="C343" t="str">
        <x:v>Salaried</x:v>
      </x:c>
      <x:c r="D343" t="str">
        <x:v>Group B</x:v>
      </x:c>
      <x:c r="E343" s="26" t="n">
        <x:v>32111.14</x:v>
      </x:c>
      <x:c r="F343" t="n">
        <x:v>0</x:v>
      </x:c>
      <x:c r="G343" s="25" t="n">
        <x:v>0.167461</x:v>
      </x:c>
      <x:c r="H343" t="n">
        <x:f>IF(G343&lt;$B$6,1,0)</x:f>
        <x:v>0</x:v>
      </x:c>
      <x:c r="I343" s="26" t="n">
        <x:f>H343*IF(F343=0,E343*$B$7,-E343*$B$8)</x:f>
        <x:v>0</x:v>
      </x:c>
    </x:row>
    <x:row r="344">
      <x:c r="A344" t="n">
        <x:v>8379</x:v>
      </x:c>
      <x:c r="B344" t="str">
        <x:v>2024-07</x:v>
      </x:c>
      <x:c r="C344" t="str">
        <x:v>Self employed</x:v>
      </x:c>
      <x:c r="D344" t="str">
        <x:v>Group A</x:v>
      </x:c>
      <x:c r="E344" s="26" t="n">
        <x:v>9000.57</x:v>
      </x:c>
      <x:c r="F344" t="n">
        <x:v>0</x:v>
      </x:c>
      <x:c r="G344" s="25" t="n">
        <x:v>0.046162</x:v>
      </x:c>
      <x:c r="H344" t="n">
        <x:f>IF(G344&lt;$B$6,1,0)</x:f>
        <x:v>1</x:v>
      </x:c>
      <x:c r="I344" s="26" t="n">
        <x:f>H344*IF(F344=0,E344*$B$7,-E344*$B$8)</x:f>
        <x:v>1080.0683999999999</x:v>
      </x:c>
    </x:row>
    <x:row r="345">
      <x:c r="A345" t="n">
        <x:v>8392</x:v>
      </x:c>
      <x:c r="B345" t="str">
        <x:v>2024-07</x:v>
      </x:c>
      <x:c r="C345" t="str">
        <x:v>Salaried</x:v>
      </x:c>
      <x:c r="D345" t="str">
        <x:v>Group A</x:v>
      </x:c>
      <x:c r="E345" s="26" t="n">
        <x:v>20399.55</x:v>
      </x:c>
      <x:c r="F345" t="n">
        <x:v>0</x:v>
      </x:c>
      <x:c r="G345" s="25" t="n">
        <x:v>0.390935</x:v>
      </x:c>
      <x:c r="H345" t="n">
        <x:f>IF(G345&lt;$B$6,1,0)</x:f>
        <x:v>0</x:v>
      </x:c>
      <x:c r="I345" s="26" t="n">
        <x:f>H345*IF(F345=0,E345*$B$7,-E345*$B$8)</x:f>
        <x:v>0</x:v>
      </x:c>
    </x:row>
    <x:row r="346">
      <x:c r="A346" t="n">
        <x:v>8405</x:v>
      </x:c>
      <x:c r="B346" t="str">
        <x:v>2024-07</x:v>
      </x:c>
      <x:c r="C346" t="str">
        <x:v>Self employed</x:v>
      </x:c>
      <x:c r="D346" t="str">
        <x:v>Group A</x:v>
      </x:c>
      <x:c r="E346" s="26" t="n">
        <x:v>7627.91</x:v>
      </x:c>
      <x:c r="F346" t="n">
        <x:v>0</x:v>
      </x:c>
      <x:c r="G346" s="25" t="n">
        <x:v>0.18681</x:v>
      </x:c>
      <x:c r="H346" t="n">
        <x:f>IF(G346&lt;$B$6,1,0)</x:f>
        <x:v>0</x:v>
      </x:c>
      <x:c r="I346" s="26" t="n">
        <x:f>H346*IF(F346=0,E346*$B$7,-E346*$B$8)</x:f>
        <x:v>0</x:v>
      </x:c>
    </x:row>
    <x:row r="347">
      <x:c r="A347" t="n">
        <x:v>8448</x:v>
      </x:c>
      <x:c r="B347" t="str">
        <x:v>2024-07</x:v>
      </x:c>
      <x:c r="C347" t="str">
        <x:v>Salaried</x:v>
      </x:c>
      <x:c r="D347" t="str">
        <x:v>Group A</x:v>
      </x:c>
      <x:c r="E347" s="26" t="n">
        <x:v>13018.78</x:v>
      </x:c>
      <x:c r="F347" t="n">
        <x:v>0</x:v>
      </x:c>
      <x:c r="G347" s="25" t="n">
        <x:v>0.151687</x:v>
      </x:c>
      <x:c r="H347" t="n">
        <x:f>IF(G347&lt;$B$6,1,0)</x:f>
        <x:v>1</x:v>
      </x:c>
      <x:c r="I347" s="26" t="n">
        <x:f>H347*IF(F347=0,E347*$B$7,-E347*$B$8)</x:f>
        <x:v>1562.2536</x:v>
      </x:c>
    </x:row>
    <x:row r="348">
      <x:c r="A348" t="n">
        <x:v>8451</x:v>
      </x:c>
      <x:c r="B348" t="str">
        <x:v>2024-07</x:v>
      </x:c>
      <x:c r="C348" t="str">
        <x:v>Contract</x:v>
      </x:c>
      <x:c r="D348" t="str">
        <x:v>Group B</x:v>
      </x:c>
      <x:c r="E348" s="26" t="n">
        <x:v>29657.26</x:v>
      </x:c>
      <x:c r="F348" t="n">
        <x:v>0</x:v>
      </x:c>
      <x:c r="G348" s="25" t="n">
        <x:v>0.252909</x:v>
      </x:c>
      <x:c r="H348" t="n">
        <x:f>IF(G348&lt;$B$6,1,0)</x:f>
        <x:v>0</x:v>
      </x:c>
      <x:c r="I348" s="26" t="n">
        <x:f>H348*IF(F348=0,E348*$B$7,-E348*$B$8)</x:f>
        <x:v>0</x:v>
      </x:c>
    </x:row>
    <x:row r="349">
      <x:c r="A349" t="n">
        <x:v>8528</x:v>
      </x:c>
      <x:c r="B349" t="str">
        <x:v>2024-07</x:v>
      </x:c>
      <x:c r="C349" t="str">
        <x:v>Contract</x:v>
      </x:c>
      <x:c r="D349" t="str">
        <x:v>Group A</x:v>
      </x:c>
      <x:c r="E349" s="26" t="n">
        <x:v>14508.67</x:v>
      </x:c>
      <x:c r="F349" t="n">
        <x:v>0</x:v>
      </x:c>
      <x:c r="G349" s="25" t="n">
        <x:v>0.212762</x:v>
      </x:c>
      <x:c r="H349" t="n">
        <x:f>IF(G349&lt;$B$6,1,0)</x:f>
        <x:v>0</x:v>
      </x:c>
      <x:c r="I349" s="26" t="n">
        <x:f>H349*IF(F349=0,E349*$B$7,-E349*$B$8)</x:f>
        <x:v>0</x:v>
      </x:c>
    </x:row>
    <x:row r="350">
      <x:c r="A350" t="n">
        <x:v>8537</x:v>
      </x:c>
      <x:c r="B350" t="str">
        <x:v>2024-07</x:v>
      </x:c>
      <x:c r="C350" t="str">
        <x:v>Self employed</x:v>
      </x:c>
      <x:c r="D350" t="str">
        <x:v>Group A</x:v>
      </x:c>
      <x:c r="E350" s="26" t="n">
        <x:v>22300.32</x:v>
      </x:c>
      <x:c r="F350" t="n">
        <x:v>0</x:v>
      </x:c>
      <x:c r="G350" s="25" t="n">
        <x:v>0.634869</x:v>
      </x:c>
      <x:c r="H350" t="n">
        <x:f>IF(G350&lt;$B$6,1,0)</x:f>
        <x:v>0</x:v>
      </x:c>
      <x:c r="I350" s="26" t="n">
        <x:f>H350*IF(F350=0,E350*$B$7,-E350*$B$8)</x:f>
        <x:v>0</x:v>
      </x:c>
    </x:row>
    <x:row r="351">
      <x:c r="A351" t="n">
        <x:v>8649</x:v>
      </x:c>
      <x:c r="B351" t="str">
        <x:v>2024-07</x:v>
      </x:c>
      <x:c r="C351" t="str">
        <x:v>Salaried</x:v>
      </x:c>
      <x:c r="D351" t="str">
        <x:v>Group B</x:v>
      </x:c>
      <x:c r="E351" s="26" t="n">
        <x:v>13602.21</x:v>
      </x:c>
      <x:c r="F351" t="n">
        <x:v>1</x:v>
      </x:c>
      <x:c r="G351" s="25" t="n">
        <x:v>0.194295</x:v>
      </x:c>
      <x:c r="H351" t="n">
        <x:f>IF(G351&lt;$B$6,1,0)</x:f>
        <x:v>0</x:v>
      </x:c>
      <x:c r="I351" s="26" t="n">
        <x:f>H351*IF(F351=0,E351*$B$7,-E351*$B$8)</x:f>
        <x:v>0</x:v>
      </x:c>
    </x:row>
    <x:row r="352">
      <x:c r="A352" t="n">
        <x:v>8658</x:v>
      </x:c>
      <x:c r="B352" t="str">
        <x:v>2024-07</x:v>
      </x:c>
      <x:c r="C352" t="str">
        <x:v>Self employed</x:v>
      </x:c>
      <x:c r="D352" t="str">
        <x:v>Group B</x:v>
      </x:c>
      <x:c r="E352" s="26" t="n">
        <x:v>3361.01</x:v>
      </x:c>
      <x:c r="F352" t="n">
        <x:v>0</x:v>
      </x:c>
      <x:c r="G352" s="25" t="n">
        <x:v>0.026368</x:v>
      </x:c>
      <x:c r="H352" t="n">
        <x:f>IF(G352&lt;$B$6,1,0)</x:f>
        <x:v>1</x:v>
      </x:c>
      <x:c r="I352" s="26" t="n">
        <x:f>H352*IF(F352=0,E352*$B$7,-E352*$B$8)</x:f>
        <x:v>403.32120000000003</x:v>
      </x:c>
    </x:row>
    <x:row r="353">
      <x:c r="A353" t="n">
        <x:v>8710</x:v>
      </x:c>
      <x:c r="B353" t="str">
        <x:v>2024-07</x:v>
      </x:c>
      <x:c r="C353" t="str">
        <x:v>Salaried</x:v>
      </x:c>
      <x:c r="D353" t="str">
        <x:v>Group B</x:v>
      </x:c>
      <x:c r="E353" s="26" t="n">
        <x:v>6882.56</x:v>
      </x:c>
      <x:c r="F353" t="n">
        <x:v>0</x:v>
      </x:c>
      <x:c r="G353" s="25" t="n">
        <x:v>0.195162</x:v>
      </x:c>
      <x:c r="H353" t="n">
        <x:f>IF(G353&lt;$B$6,1,0)</x:f>
        <x:v>0</x:v>
      </x:c>
      <x:c r="I353" s="26" t="n">
        <x:f>H353*IF(F353=0,E353*$B$7,-E353*$B$8)</x:f>
        <x:v>0</x:v>
      </x:c>
    </x:row>
    <x:row r="354">
      <x:c r="A354" t="n">
        <x:v>8721</x:v>
      </x:c>
      <x:c r="B354" t="str">
        <x:v>2024-07</x:v>
      </x:c>
      <x:c r="C354" t="str">
        <x:v>Salaried</x:v>
      </x:c>
      <x:c r="D354" t="str">
        <x:v>Group A</x:v>
      </x:c>
      <x:c r="E354" s="26" t="n">
        <x:v>11355.06</x:v>
      </x:c>
      <x:c r="F354" t="n">
        <x:v>0</x:v>
      </x:c>
      <x:c r="G354" s="25" t="n">
        <x:v>0.325562</x:v>
      </x:c>
      <x:c r="H354" t="n">
        <x:f>IF(G354&lt;$B$6,1,0)</x:f>
        <x:v>0</x:v>
      </x:c>
      <x:c r="I354" s="26" t="n">
        <x:f>H354*IF(F354=0,E354*$B$7,-E354*$B$8)</x:f>
        <x:v>0</x:v>
      </x:c>
    </x:row>
    <x:row r="355">
      <x:c r="A355" t="n">
        <x:v>8791</x:v>
      </x:c>
      <x:c r="B355" t="str">
        <x:v>2024-07</x:v>
      </x:c>
      <x:c r="C355" t="str">
        <x:v>Self employed</x:v>
      </x:c>
      <x:c r="D355" t="str">
        <x:v>Group B</x:v>
      </x:c>
      <x:c r="E355" s="26" t="n">
        <x:v>11231.22</x:v>
      </x:c>
      <x:c r="F355" t="n">
        <x:v>0</x:v>
      </x:c>
      <x:c r="G355" s="25" t="n">
        <x:v>0.030544</x:v>
      </x:c>
      <x:c r="H355" t="n">
        <x:f>IF(G355&lt;$B$6,1,0)</x:f>
        <x:v>1</x:v>
      </x:c>
      <x:c r="I355" s="26" t="n">
        <x:f>H355*IF(F355=0,E355*$B$7,-E355*$B$8)</x:f>
        <x:v>1347.7463999999998</x:v>
      </x:c>
    </x:row>
    <x:row r="356">
      <x:c r="A356" t="n">
        <x:v>8793</x:v>
      </x:c>
      <x:c r="B356" t="str">
        <x:v>2024-07</x:v>
      </x:c>
      <x:c r="C356" t="str">
        <x:v>Salaried</x:v>
      </x:c>
      <x:c r="D356" t="str">
        <x:v>Group A</x:v>
      </x:c>
      <x:c r="E356" s="26" t="n">
        <x:v>46435.95</x:v>
      </x:c>
      <x:c r="F356" t="n">
        <x:v>0</x:v>
      </x:c>
      <x:c r="G356" s="25" t="n">
        <x:v>0.374957</x:v>
      </x:c>
      <x:c r="H356" t="n">
        <x:f>IF(G356&lt;$B$6,1,0)</x:f>
        <x:v>0</x:v>
      </x:c>
      <x:c r="I356" s="26" t="n">
        <x:f>H356*IF(F356=0,E356*$B$7,-E356*$B$8)</x:f>
        <x:v>0</x:v>
      </x:c>
    </x:row>
    <x:row r="357">
      <x:c r="A357" t="n">
        <x:v>8817</x:v>
      </x:c>
      <x:c r="B357" t="str">
        <x:v>2024-07</x:v>
      </x:c>
      <x:c r="C357" t="str">
        <x:v>Contract</x:v>
      </x:c>
      <x:c r="D357" t="str">
        <x:v>Group B</x:v>
      </x:c>
      <x:c r="E357" s="26" t="n">
        <x:v>7990.39</x:v>
      </x:c>
      <x:c r="F357" t="n">
        <x:v>1</x:v>
      </x:c>
      <x:c r="G357" s="25" t="n">
        <x:v>0.179659</x:v>
      </x:c>
      <x:c r="H357" t="n">
        <x:f>IF(G357&lt;$B$6,1,0)</x:f>
        <x:v>0</x:v>
      </x:c>
      <x:c r="I357" s="26" t="n">
        <x:f>H357*IF(F357=0,E357*$B$7,-E357*$B$8)</x:f>
        <x:v>0</x:v>
      </x:c>
    </x:row>
    <x:row r="358">
      <x:c r="A358" t="n">
        <x:v>8820</x:v>
      </x:c>
      <x:c r="B358" t="str">
        <x:v>2024-07</x:v>
      </x:c>
      <x:c r="C358" t="str">
        <x:v>Salaried</x:v>
      </x:c>
      <x:c r="D358" t="str">
        <x:v>Group A</x:v>
      </x:c>
      <x:c r="E358" s="26" t="n">
        <x:v>11967.12</x:v>
      </x:c>
      <x:c r="F358" t="n">
        <x:v>0</x:v>
      </x:c>
      <x:c r="G358" s="25" t="n">
        <x:v>0.121158</x:v>
      </x:c>
      <x:c r="H358" t="n">
        <x:f>IF(G358&lt;$B$6,1,0)</x:f>
        <x:v>1</x:v>
      </x:c>
      <x:c r="I358" s="26" t="n">
        <x:f>H358*IF(F358=0,E358*$B$7,-E358*$B$8)</x:f>
        <x:v>1436.0544</x:v>
      </x:c>
    </x:row>
    <x:row r="359">
      <x:c r="A359" t="n">
        <x:v>8891</x:v>
      </x:c>
      <x:c r="B359" t="str">
        <x:v>2024-07</x:v>
      </x:c>
      <x:c r="C359" t="str">
        <x:v>Salaried</x:v>
      </x:c>
      <x:c r="D359" t="str">
        <x:v>Group B</x:v>
      </x:c>
      <x:c r="E359" s="26" t="n">
        <x:v>5098.9</x:v>
      </x:c>
      <x:c r="F359" t="n">
        <x:v>0</x:v>
      </x:c>
      <x:c r="G359" s="25" t="n">
        <x:v>0.022081</x:v>
      </x:c>
      <x:c r="H359" t="n">
        <x:f>IF(G359&lt;$B$6,1,0)</x:f>
        <x:v>1</x:v>
      </x:c>
      <x:c r="I359" s="26" t="n">
        <x:f>H359*IF(F359=0,E359*$B$7,-E359*$B$8)</x:f>
        <x:v>611.8679999999999</x:v>
      </x:c>
    </x:row>
    <x:row r="360">
      <x:c r="A360" t="n">
        <x:v>8905</x:v>
      </x:c>
      <x:c r="B360" t="str">
        <x:v>2024-07</x:v>
      </x:c>
      <x:c r="C360" t="str">
        <x:v>Salaried</x:v>
      </x:c>
      <x:c r="D360" t="str">
        <x:v>Group A</x:v>
      </x:c>
      <x:c r="E360" s="26" t="n">
        <x:v>9059.55</x:v>
      </x:c>
      <x:c r="F360" t="n">
        <x:v>1</x:v>
      </x:c>
      <x:c r="G360" s="25" t="n">
        <x:v>0.705307</x:v>
      </x:c>
      <x:c r="H360" t="n">
        <x:f>IF(G360&lt;$B$6,1,0)</x:f>
        <x:v>0</x:v>
      </x:c>
      <x:c r="I360" s="26" t="n">
        <x:f>H360*IF(F360=0,E360*$B$7,-E360*$B$8)</x:f>
        <x:v>0</x:v>
      </x:c>
    </x:row>
    <x:row r="361">
      <x:c r="A361" t="n">
        <x:v>8939</x:v>
      </x:c>
      <x:c r="B361" t="str">
        <x:v>2024-07</x:v>
      </x:c>
      <x:c r="C361" t="str">
        <x:v>Self employed</x:v>
      </x:c>
      <x:c r="D361" t="str">
        <x:v>Group B</x:v>
      </x:c>
      <x:c r="E361" s="26" t="n">
        <x:v>4393.64</x:v>
      </x:c>
      <x:c r="F361" t="n">
        <x:v>1</x:v>
      </x:c>
      <x:c r="G361" s="25" t="n">
        <x:v>0.672975</x:v>
      </x:c>
      <x:c r="H361" t="n">
        <x:f>IF(G361&lt;$B$6,1,0)</x:f>
        <x:v>0</x:v>
      </x:c>
      <x:c r="I361" s="26" t="n">
        <x:f>H361*IF(F361=0,E361*$B$7,-E361*$B$8)</x:f>
        <x:v>0</x:v>
      </x:c>
    </x:row>
    <x:row r="362">
      <x:c r="A362" t="n">
        <x:v>8953</x:v>
      </x:c>
      <x:c r="B362" t="str">
        <x:v>2024-07</x:v>
      </x:c>
      <x:c r="C362" t="str">
        <x:v>Self employed</x:v>
      </x:c>
      <x:c r="D362" t="str">
        <x:v>Group A</x:v>
      </x:c>
      <x:c r="E362" s="26" t="n">
        <x:v>6559.4</x:v>
      </x:c>
      <x:c r="F362" t="n">
        <x:v>0</x:v>
      </x:c>
      <x:c r="G362" s="25" t="n">
        <x:v>0.350765</x:v>
      </x:c>
      <x:c r="H362" t="n">
        <x:f>IF(G362&lt;$B$6,1,0)</x:f>
        <x:v>0</x:v>
      </x:c>
      <x:c r="I362" s="26" t="n">
        <x:f>H362*IF(F362=0,E362*$B$7,-E362*$B$8)</x:f>
        <x:v>0</x:v>
      </x:c>
    </x:row>
    <x:row r="363">
      <x:c r="A363" t="n">
        <x:v>8981</x:v>
      </x:c>
      <x:c r="B363" t="str">
        <x:v>2024-07</x:v>
      </x:c>
      <x:c r="C363" t="str">
        <x:v>Salaried</x:v>
      </x:c>
      <x:c r="D363" t="str">
        <x:v>Group A</x:v>
      </x:c>
      <x:c r="E363" s="26" t="n">
        <x:v>11412.73</x:v>
      </x:c>
      <x:c r="F363" t="n">
        <x:v>0</x:v>
      </x:c>
      <x:c r="G363" s="25" t="n">
        <x:v>0.107445</x:v>
      </x:c>
      <x:c r="H363" t="n">
        <x:f>IF(G363&lt;$B$6,1,0)</x:f>
        <x:v>1</x:v>
      </x:c>
      <x:c r="I363" s="26" t="n">
        <x:f>H363*IF(F363=0,E363*$B$7,-E363*$B$8)</x:f>
        <x:v>1369.5276</x:v>
      </x:c>
    </x:row>
    <x:row r="364">
      <x:c r="A364" t="n">
        <x:v>9000</x:v>
      </x:c>
      <x:c r="B364" t="str">
        <x:v>2024-07</x:v>
      </x:c>
      <x:c r="C364" t="str">
        <x:v>Salaried</x:v>
      </x:c>
      <x:c r="D364" t="str">
        <x:v>Group B</x:v>
      </x:c>
      <x:c r="E364" s="26" t="n">
        <x:v>7499.12</x:v>
      </x:c>
      <x:c r="F364" t="n">
        <x:v>0</x:v>
      </x:c>
      <x:c r="G364" s="25" t="n">
        <x:v>0.437748</x:v>
      </x:c>
      <x:c r="H364" t="n">
        <x:f>IF(G364&lt;$B$6,1,0)</x:f>
        <x:v>0</x:v>
      </x:c>
      <x:c r="I364" s="26" t="n">
        <x:f>H364*IF(F364=0,E364*$B$7,-E364*$B$8)</x:f>
        <x:v>0</x:v>
      </x:c>
    </x:row>
    <x:row r="365">
      <x:c r="A365" t="n">
        <x:v>9006</x:v>
      </x:c>
      <x:c r="B365" t="str">
        <x:v>2024-07</x:v>
      </x:c>
      <x:c r="C365" t="str">
        <x:v>Self employed</x:v>
      </x:c>
      <x:c r="D365" t="str">
        <x:v>Group A</x:v>
      </x:c>
      <x:c r="E365" s="26" t="n">
        <x:v>9736.02</x:v>
      </x:c>
      <x:c r="F365" t="n">
        <x:v>0</x:v>
      </x:c>
      <x:c r="G365" s="25" t="n">
        <x:v>0.076317</x:v>
      </x:c>
      <x:c r="H365" t="n">
        <x:f>IF(G365&lt;$B$6,1,0)</x:f>
        <x:v>1</x:v>
      </x:c>
      <x:c r="I365" s="26" t="n">
        <x:f>H365*IF(F365=0,E365*$B$7,-E365*$B$8)</x:f>
        <x:v>1168.3224</x:v>
      </x:c>
    </x:row>
    <x:row r="366">
      <x:c r="A366" t="n">
        <x:v>9088</x:v>
      </x:c>
      <x:c r="B366" t="str">
        <x:v>2024-07</x:v>
      </x:c>
      <x:c r="C366" t="str">
        <x:v>Salaried</x:v>
      </x:c>
      <x:c r="D366" t="str">
        <x:v>Group A</x:v>
      </x:c>
      <x:c r="E366" s="26" t="n">
        <x:v>18742.4</x:v>
      </x:c>
      <x:c r="F366" t="n">
        <x:v>0</x:v>
      </x:c>
      <x:c r="G366" s="25" t="n">
        <x:v>0.378632</x:v>
      </x:c>
      <x:c r="H366" t="n">
        <x:f>IF(G366&lt;$B$6,1,0)</x:f>
        <x:v>0</x:v>
      </x:c>
      <x:c r="I366" s="26" t="n">
        <x:f>H366*IF(F366=0,E366*$B$7,-E366*$B$8)</x:f>
        <x:v>0</x:v>
      </x:c>
    </x:row>
    <x:row r="367">
      <x:c r="A367" t="n">
        <x:v>9122</x:v>
      </x:c>
      <x:c r="B367" t="str">
        <x:v>2024-07</x:v>
      </x:c>
      <x:c r="C367" t="str">
        <x:v>Salaried</x:v>
      </x:c>
      <x:c r="D367" t="str">
        <x:v>Group A</x:v>
      </x:c>
      <x:c r="E367" s="26" t="n">
        <x:v>17580.69</x:v>
      </x:c>
      <x:c r="F367" t="n">
        <x:v>0</x:v>
      </x:c>
      <x:c r="G367" s="25" t="n">
        <x:v>0.4889</x:v>
      </x:c>
      <x:c r="H367" t="n">
        <x:f>IF(G367&lt;$B$6,1,0)</x:f>
        <x:v>0</x:v>
      </x:c>
      <x:c r="I367" s="26" t="n">
        <x:f>H367*IF(F367=0,E367*$B$7,-E367*$B$8)</x:f>
        <x:v>0</x:v>
      </x:c>
    </x:row>
    <x:row r="368">
      <x:c r="A368" t="n">
        <x:v>9125</x:v>
      </x:c>
      <x:c r="B368" t="str">
        <x:v>2024-07</x:v>
      </x:c>
      <x:c r="C368" t="str">
        <x:v>Self employed</x:v>
      </x:c>
      <x:c r="D368" t="str">
        <x:v>Group B</x:v>
      </x:c>
      <x:c r="E368" s="26" t="n">
        <x:v>13356.27</x:v>
      </x:c>
      <x:c r="F368" t="n">
        <x:v>0</x:v>
      </x:c>
      <x:c r="G368" s="25" t="n">
        <x:v>0.182808</x:v>
      </x:c>
      <x:c r="H368" t="n">
        <x:f>IF(G368&lt;$B$6,1,0)</x:f>
        <x:v>0</x:v>
      </x:c>
      <x:c r="I368" s="26" t="n">
        <x:f>H368*IF(F368=0,E368*$B$7,-E368*$B$8)</x:f>
        <x:v>0</x:v>
      </x:c>
    </x:row>
    <x:row r="369">
      <x:c r="A369" t="n">
        <x:v>9135</x:v>
      </x:c>
      <x:c r="B369" t="str">
        <x:v>2024-07</x:v>
      </x:c>
      <x:c r="C369" t="str">
        <x:v>Self employed</x:v>
      </x:c>
      <x:c r="D369" t="str">
        <x:v>Group B</x:v>
      </x:c>
      <x:c r="E369" s="26" t="n">
        <x:v>13768.53</x:v>
      </x:c>
      <x:c r="F369" t="n">
        <x:v>0</x:v>
      </x:c>
      <x:c r="G369" s="25" t="n">
        <x:v>0.071513</x:v>
      </x:c>
      <x:c r="H369" t="n">
        <x:f>IF(G369&lt;$B$6,1,0)</x:f>
        <x:v>1</x:v>
      </x:c>
      <x:c r="I369" s="26" t="n">
        <x:f>H369*IF(F369=0,E369*$B$7,-E369*$B$8)</x:f>
        <x:v>1652.2236</x:v>
      </x:c>
    </x:row>
    <x:row r="370">
      <x:c r="A370" t="n">
        <x:v>9160</x:v>
      </x:c>
      <x:c r="B370" t="str">
        <x:v>2024-07</x:v>
      </x:c>
      <x:c r="C370" t="str">
        <x:v>Salaried</x:v>
      </x:c>
      <x:c r="D370" t="str">
        <x:v>Group B</x:v>
      </x:c>
      <x:c r="E370" s="26" t="n">
        <x:v>12557.64</x:v>
      </x:c>
      <x:c r="F370" t="n">
        <x:v>0</x:v>
      </x:c>
      <x:c r="G370" s="25" t="n">
        <x:v>0.470997</x:v>
      </x:c>
      <x:c r="H370" t="n">
        <x:f>IF(G370&lt;$B$6,1,0)</x:f>
        <x:v>0</x:v>
      </x:c>
      <x:c r="I370" s="26" t="n">
        <x:f>H370*IF(F370=0,E370*$B$7,-E370*$B$8)</x:f>
        <x:v>0</x:v>
      </x:c>
    </x:row>
    <x:row r="371">
      <x:c r="A371" t="n">
        <x:v>9163</x:v>
      </x:c>
      <x:c r="B371" t="str">
        <x:v>2024-07</x:v>
      </x:c>
      <x:c r="C371" t="str">
        <x:v>Salaried</x:v>
      </x:c>
      <x:c r="D371" t="str">
        <x:v>Group A</x:v>
      </x:c>
      <x:c r="E371" s="26" t="n">
        <x:v>13349.32</x:v>
      </x:c>
      <x:c r="F371" t="n">
        <x:v>1</x:v>
      </x:c>
      <x:c r="G371" s="25" t="n">
        <x:v>0.31368</x:v>
      </x:c>
      <x:c r="H371" t="n">
        <x:f>IF(G371&lt;$B$6,1,0)</x:f>
        <x:v>0</x:v>
      </x:c>
      <x:c r="I371" s="26" t="n">
        <x:f>H371*IF(F371=0,E371*$B$7,-E371*$B$8)</x:f>
        <x:v>0</x:v>
      </x:c>
    </x:row>
    <x:row r="372">
      <x:c r="A372" t="n">
        <x:v>9270</x:v>
      </x:c>
      <x:c r="B372" t="str">
        <x:v>2024-07</x:v>
      </x:c>
      <x:c r="C372" t="str">
        <x:v>Contract</x:v>
      </x:c>
      <x:c r="D372" t="str">
        <x:v>Group A</x:v>
      </x:c>
      <x:c r="E372" s="26" t="n">
        <x:v>56254.42</x:v>
      </x:c>
      <x:c r="F372" t="n">
        <x:v>1</x:v>
      </x:c>
      <x:c r="G372" s="25" t="n">
        <x:v>0.529899</x:v>
      </x:c>
      <x:c r="H372" t="n">
        <x:f>IF(G372&lt;$B$6,1,0)</x:f>
        <x:v>0</x:v>
      </x:c>
      <x:c r="I372" s="26" t="n">
        <x:f>H372*IF(F372=0,E372*$B$7,-E372*$B$8)</x:f>
        <x:v>0</x:v>
      </x:c>
    </x:row>
    <x:row r="373">
      <x:c r="A373" t="n">
        <x:v>9354</x:v>
      </x:c>
      <x:c r="B373" t="str">
        <x:v>2024-07</x:v>
      </x:c>
      <x:c r="C373" t="str">
        <x:v>Salaried</x:v>
      </x:c>
      <x:c r="D373" t="str">
        <x:v>Group A</x:v>
      </x:c>
      <x:c r="E373" s="26" t="n">
        <x:v>10469.17</x:v>
      </x:c>
      <x:c r="F373" t="n">
        <x:v>0</x:v>
      </x:c>
      <x:c r="G373" s="25" t="n">
        <x:v>0.173336</x:v>
      </x:c>
      <x:c r="H373" t="n">
        <x:f>IF(G373&lt;$B$6,1,0)</x:f>
        <x:v>0</x:v>
      </x:c>
      <x:c r="I373" s="26" t="n">
        <x:f>H373*IF(F373=0,E373*$B$7,-E373*$B$8)</x:f>
        <x:v>0</x:v>
      </x:c>
    </x:row>
    <x:row r="374">
      <x:c r="A374" t="n">
        <x:v>9362</x:v>
      </x:c>
      <x:c r="B374" t="str">
        <x:v>2024-07</x:v>
      </x:c>
      <x:c r="C374" t="str">
        <x:v>Salaried</x:v>
      </x:c>
      <x:c r="D374" t="str">
        <x:v>Group B</x:v>
      </x:c>
      <x:c r="E374" s="26" t="n">
        <x:v>13854.25</x:v>
      </x:c>
      <x:c r="F374" t="n">
        <x:v>0</x:v>
      </x:c>
      <x:c r="G374" s="25" t="n">
        <x:v>0.06842</x:v>
      </x:c>
      <x:c r="H374" t="n">
        <x:f>IF(G374&lt;$B$6,1,0)</x:f>
        <x:v>1</x:v>
      </x:c>
      <x:c r="I374" s="26" t="n">
        <x:f>H374*IF(F374=0,E374*$B$7,-E374*$B$8)</x:f>
        <x:v>1662.51</x:v>
      </x:c>
    </x:row>
    <x:row r="375">
      <x:c r="A375" t="n">
        <x:v>9387</x:v>
      </x:c>
      <x:c r="B375" t="str">
        <x:v>2024-07</x:v>
      </x:c>
      <x:c r="C375" t="str">
        <x:v>Salaried</x:v>
      </x:c>
      <x:c r="D375" t="str">
        <x:v>Group B</x:v>
      </x:c>
      <x:c r="E375" s="26" t="n">
        <x:v>12071.55</x:v>
      </x:c>
      <x:c r="F375" t="n">
        <x:v>1</x:v>
      </x:c>
      <x:c r="G375" s="25" t="n">
        <x:v>0.516999</x:v>
      </x:c>
      <x:c r="H375" t="n">
        <x:f>IF(G375&lt;$B$6,1,0)</x:f>
        <x:v>0</x:v>
      </x:c>
      <x:c r="I375" s="26" t="n">
        <x:f>H375*IF(F375=0,E375*$B$7,-E375*$B$8)</x:f>
        <x:v>0</x:v>
      </x:c>
    </x:row>
    <x:row r="376">
      <x:c r="A376" t="n">
        <x:v>9441</x:v>
      </x:c>
      <x:c r="B376" t="str">
        <x:v>2024-07</x:v>
      </x:c>
      <x:c r="C376" t="str">
        <x:v>Self employed</x:v>
      </x:c>
      <x:c r="D376" t="str">
        <x:v>Group A</x:v>
      </x:c>
      <x:c r="E376" s="26" t="n">
        <x:v>3544.06</x:v>
      </x:c>
      <x:c r="F376" t="n">
        <x:v>0</x:v>
      </x:c>
      <x:c r="G376" s="25" t="n">
        <x:v>0.131396</x:v>
      </x:c>
      <x:c r="H376" t="n">
        <x:f>IF(G376&lt;$B$6,1,0)</x:f>
        <x:v>1</x:v>
      </x:c>
      <x:c r="I376" s="26" t="n">
        <x:f>H376*IF(F376=0,E376*$B$7,-E376*$B$8)</x:f>
        <x:v>425.2872</x:v>
      </x:c>
    </x:row>
    <x:row r="377">
      <x:c r="A377" t="n">
        <x:v>9485</x:v>
      </x:c>
      <x:c r="B377" t="str">
        <x:v>2024-07</x:v>
      </x:c>
      <x:c r="C377" t="str">
        <x:v>Self employed</x:v>
      </x:c>
      <x:c r="D377" t="str">
        <x:v>Group A</x:v>
      </x:c>
      <x:c r="E377" s="26" t="n">
        <x:v>29564.51</x:v>
      </x:c>
      <x:c r="F377" t="n">
        <x:v>1</x:v>
      </x:c>
      <x:c r="G377" s="25" t="n">
        <x:v>0.447276</x:v>
      </x:c>
      <x:c r="H377" t="n">
        <x:f>IF(G377&lt;$B$6,1,0)</x:f>
        <x:v>0</x:v>
      </x:c>
      <x:c r="I377" s="26" t="n">
        <x:f>H377*IF(F377=0,E377*$B$7,-E377*$B$8)</x:f>
        <x:v>0</x:v>
      </x:c>
    </x:row>
    <x:row r="378">
      <x:c r="A378" t="n">
        <x:v>9490</x:v>
      </x:c>
      <x:c r="B378" t="str">
        <x:v>2024-07</x:v>
      </x:c>
      <x:c r="C378" t="str">
        <x:v>Salaried</x:v>
      </x:c>
      <x:c r="D378" t="str">
        <x:v>Group A</x:v>
      </x:c>
      <x:c r="E378" s="26" t="n">
        <x:v>4365.79</x:v>
      </x:c>
      <x:c r="F378" t="n">
        <x:v>1</x:v>
      </x:c>
      <x:c r="G378" s="25" t="n">
        <x:v>0.230068</x:v>
      </x:c>
      <x:c r="H378" t="n">
        <x:f>IF(G378&lt;$B$6,1,0)</x:f>
        <x:v>0</x:v>
      </x:c>
      <x:c r="I378" s="26" t="n">
        <x:f>H378*IF(F378=0,E378*$B$7,-E378*$B$8)</x:f>
        <x:v>0</x:v>
      </x:c>
    </x:row>
    <x:row r="379">
      <x:c r="A379" t="n">
        <x:v>9494</x:v>
      </x:c>
      <x:c r="B379" t="str">
        <x:v>2024-07</x:v>
      </x:c>
      <x:c r="C379" t="str">
        <x:v>Salaried</x:v>
      </x:c>
      <x:c r="D379" t="str">
        <x:v>Group B</x:v>
      </x:c>
      <x:c r="E379" s="26" t="n">
        <x:v>20483.21</x:v>
      </x:c>
      <x:c r="F379" t="n">
        <x:v>0</x:v>
      </x:c>
      <x:c r="G379" s="25" t="n">
        <x:v>0.442373</x:v>
      </x:c>
      <x:c r="H379" t="n">
        <x:f>IF(G379&lt;$B$6,1,0)</x:f>
        <x:v>0</x:v>
      </x:c>
      <x:c r="I379" s="26" t="n">
        <x:f>H379*IF(F379=0,E379*$B$7,-E379*$B$8)</x:f>
        <x:v>0</x:v>
      </x:c>
    </x:row>
    <x:row r="380">
      <x:c r="A380" t="n">
        <x:v>9559</x:v>
      </x:c>
      <x:c r="B380" t="str">
        <x:v>2024-07</x:v>
      </x:c>
      <x:c r="C380" t="str">
        <x:v>Salaried</x:v>
      </x:c>
      <x:c r="D380" t="str">
        <x:v>Group A</x:v>
      </x:c>
      <x:c r="E380" s="26" t="n">
        <x:v>8037.16</x:v>
      </x:c>
      <x:c r="F380" t="n">
        <x:v>0</x:v>
      </x:c>
      <x:c r="G380" s="25" t="n">
        <x:v>0.030804</x:v>
      </x:c>
      <x:c r="H380" t="n">
        <x:f>IF(G380&lt;$B$6,1,0)</x:f>
        <x:v>1</x:v>
      </x:c>
      <x:c r="I380" s="26" t="n">
        <x:f>H380*IF(F380=0,E380*$B$7,-E380*$B$8)</x:f>
        <x:v>964.4591999999999</x:v>
      </x:c>
    </x:row>
    <x:row r="381">
      <x:c r="A381" t="n">
        <x:v>9566</x:v>
      </x:c>
      <x:c r="B381" t="str">
        <x:v>2024-07</x:v>
      </x:c>
      <x:c r="C381" t="str">
        <x:v>Contract</x:v>
      </x:c>
      <x:c r="D381" t="str">
        <x:v>Group B</x:v>
      </x:c>
      <x:c r="E381" s="26" t="n">
        <x:v>18099.21</x:v>
      </x:c>
      <x:c r="F381" t="n">
        <x:v>0</x:v>
      </x:c>
      <x:c r="G381" s="25" t="n">
        <x:v>0.054932</x:v>
      </x:c>
      <x:c r="H381" t="n">
        <x:f>IF(G381&lt;$B$6,1,0)</x:f>
        <x:v>1</x:v>
      </x:c>
      <x:c r="I381" s="26" t="n">
        <x:f>H381*IF(F381=0,E381*$B$7,-E381*$B$8)</x:f>
        <x:v>2171.9051999999997</x:v>
      </x:c>
    </x:row>
    <x:row r="382">
      <x:c r="A382" t="n">
        <x:v>9606</x:v>
      </x:c>
      <x:c r="B382" t="str">
        <x:v>2024-07</x:v>
      </x:c>
      <x:c r="C382" t="str">
        <x:v>Contract</x:v>
      </x:c>
      <x:c r="D382" t="str">
        <x:v>Group A</x:v>
      </x:c>
      <x:c r="E382" s="26" t="n">
        <x:v>21150.5</x:v>
      </x:c>
      <x:c r="F382" t="n">
        <x:v>1</x:v>
      </x:c>
      <x:c r="G382" s="25" t="n">
        <x:v>0.212298</x:v>
      </x:c>
      <x:c r="H382" t="n">
        <x:f>IF(G382&lt;$B$6,1,0)</x:f>
        <x:v>0</x:v>
      </x:c>
      <x:c r="I382" s="26" t="n">
        <x:f>H382*IF(F382=0,E382*$B$7,-E382*$B$8)</x:f>
        <x:v>0</x:v>
      </x:c>
    </x:row>
    <x:row r="383">
      <x:c r="A383" t="n">
        <x:v>9635</x:v>
      </x:c>
      <x:c r="B383" t="str">
        <x:v>2024-07</x:v>
      </x:c>
      <x:c r="C383" t="str">
        <x:v>Salaried</x:v>
      </x:c>
      <x:c r="D383" t="str">
        <x:v>Group B</x:v>
      </x:c>
      <x:c r="E383" s="26" t="n">
        <x:v>14321.09</x:v>
      </x:c>
      <x:c r="F383" t="n">
        <x:v>0</x:v>
      </x:c>
      <x:c r="G383" s="25" t="n">
        <x:v>0.318894</x:v>
      </x:c>
      <x:c r="H383" t="n">
        <x:f>IF(G383&lt;$B$6,1,0)</x:f>
        <x:v>0</x:v>
      </x:c>
      <x:c r="I383" s="26" t="n">
        <x:f>H383*IF(F383=0,E383*$B$7,-E383*$B$8)</x:f>
        <x:v>0</x:v>
      </x:c>
    </x:row>
    <x:row r="384">
      <x:c r="A384" t="n">
        <x:v>9646</x:v>
      </x:c>
      <x:c r="B384" t="str">
        <x:v>2024-07</x:v>
      </x:c>
      <x:c r="C384" t="str">
        <x:v>Contract</x:v>
      </x:c>
      <x:c r="D384" t="str">
        <x:v>Group A</x:v>
      </x:c>
      <x:c r="E384" s="26" t="n">
        <x:v>32948.68</x:v>
      </x:c>
      <x:c r="F384" t="n">
        <x:v>0</x:v>
      </x:c>
      <x:c r="G384" s="25" t="n">
        <x:v>0.169699</x:v>
      </x:c>
      <x:c r="H384" t="n">
        <x:f>IF(G384&lt;$B$6,1,0)</x:f>
        <x:v>0</x:v>
      </x:c>
      <x:c r="I384" s="26" t="n">
        <x:f>H384*IF(F384=0,E384*$B$7,-E384*$B$8)</x:f>
        <x:v>0</x:v>
      </x:c>
    </x:row>
    <x:row r="385">
      <x:c r="A385" t="n">
        <x:v>9672</x:v>
      </x:c>
      <x:c r="B385" t="str">
        <x:v>2024-07</x:v>
      </x:c>
      <x:c r="C385" t="str">
        <x:v>Contract</x:v>
      </x:c>
      <x:c r="D385" t="str">
        <x:v>Group A</x:v>
      </x:c>
      <x:c r="E385" s="26" t="n">
        <x:v>14732.87</x:v>
      </x:c>
      <x:c r="F385" t="n">
        <x:v>0</x:v>
      </x:c>
      <x:c r="G385" s="25" t="n">
        <x:v>0.321522</x:v>
      </x:c>
      <x:c r="H385" t="n">
        <x:f>IF(G385&lt;$B$6,1,0)</x:f>
        <x:v>0</x:v>
      </x:c>
      <x:c r="I385" s="26" t="n">
        <x:f>H385*IF(F385=0,E385*$B$7,-E385*$B$8)</x:f>
        <x:v>0</x:v>
      </x:c>
    </x:row>
    <x:row r="386">
      <x:c r="A386" t="n">
        <x:v>9679</x:v>
      </x:c>
      <x:c r="B386" t="str">
        <x:v>2024-07</x:v>
      </x:c>
      <x:c r="C386" t="str">
        <x:v>Contract</x:v>
      </x:c>
      <x:c r="D386" t="str">
        <x:v>Group A</x:v>
      </x:c>
      <x:c r="E386" s="26" t="n">
        <x:v>37133.64</x:v>
      </x:c>
      <x:c r="F386" t="n">
        <x:v>0</x:v>
      </x:c>
      <x:c r="G386" s="25" t="n">
        <x:v>0.11899</x:v>
      </x:c>
      <x:c r="H386" t="n">
        <x:f>IF(G386&lt;$B$6,1,0)</x:f>
        <x:v>1</x:v>
      </x:c>
      <x:c r="I386" s="26" t="n">
        <x:f>H386*IF(F386=0,E386*$B$7,-E386*$B$8)</x:f>
        <x:v>4456.0368</x:v>
      </x:c>
    </x:row>
    <x:row r="387">
      <x:c r="A387" t="n">
        <x:v>9705</x:v>
      </x:c>
      <x:c r="B387" t="str">
        <x:v>2024-07</x:v>
      </x:c>
      <x:c r="C387" t="str">
        <x:v>Salaried</x:v>
      </x:c>
      <x:c r="D387" t="str">
        <x:v>Group B</x:v>
      </x:c>
      <x:c r="E387" s="26" t="n">
        <x:v>7331.67</x:v>
      </x:c>
      <x:c r="F387" t="n">
        <x:v>0</x:v>
      </x:c>
      <x:c r="G387" s="25" t="n">
        <x:v>0.103102</x:v>
      </x:c>
      <x:c r="H387" t="n">
        <x:f>IF(G387&lt;$B$6,1,0)</x:f>
        <x:v>1</x:v>
      </x:c>
      <x:c r="I387" s="26" t="n">
        <x:f>H387*IF(F387=0,E387*$B$7,-E387*$B$8)</x:f>
        <x:v>879.8004</x:v>
      </x:c>
    </x:row>
    <x:row r="388">
      <x:c r="A388" t="n">
        <x:v>9734</x:v>
      </x:c>
      <x:c r="B388" t="str">
        <x:v>2024-07</x:v>
      </x:c>
      <x:c r="C388" t="str">
        <x:v>Self employed</x:v>
      </x:c>
      <x:c r="D388" t="str">
        <x:v>Group B</x:v>
      </x:c>
      <x:c r="E388" s="26" t="n">
        <x:v>24521.14</x:v>
      </x:c>
      <x:c r="F388" t="n">
        <x:v>1</x:v>
      </x:c>
      <x:c r="G388" s="25" t="n">
        <x:v>0.077168</x:v>
      </x:c>
      <x:c r="H388" t="n">
        <x:f>IF(G388&lt;$B$6,1,0)</x:f>
        <x:v>1</x:v>
      </x:c>
      <x:c r="I388" s="26" t="n">
        <x:f>H388*IF(F388=0,E388*$B$7,-E388*$B$8)</x:f>
        <x:v>-15938.741</x:v>
      </x:c>
    </x:row>
    <x:row r="389">
      <x:c r="A389" t="n">
        <x:v>9740</x:v>
      </x:c>
      <x:c r="B389" t="str">
        <x:v>2024-07</x:v>
      </x:c>
      <x:c r="C389" t="str">
        <x:v>Salaried</x:v>
      </x:c>
      <x:c r="D389" t="str">
        <x:v>Group B</x:v>
      </x:c>
      <x:c r="E389" s="26" t="n">
        <x:v>44819.94</x:v>
      </x:c>
      <x:c r="F389" t="n">
        <x:v>0</x:v>
      </x:c>
      <x:c r="G389" s="25" t="n">
        <x:v>0.545134</x:v>
      </x:c>
      <x:c r="H389" t="n">
        <x:f>IF(G389&lt;$B$6,1,0)</x:f>
        <x:v>0</x:v>
      </x:c>
      <x:c r="I389" s="26" t="n">
        <x:f>H389*IF(F389=0,E389*$B$7,-E389*$B$8)</x:f>
        <x:v>0</x:v>
      </x:c>
    </x:row>
    <x:row r="390">
      <x:c r="A390" t="n">
        <x:v>9783</x:v>
      </x:c>
      <x:c r="B390" t="str">
        <x:v>2024-07</x:v>
      </x:c>
      <x:c r="C390" t="str">
        <x:v>Salaried</x:v>
      </x:c>
      <x:c r="D390" t="str">
        <x:v>Group A</x:v>
      </x:c>
      <x:c r="E390" s="26" t="n">
        <x:v>7621.76</x:v>
      </x:c>
      <x:c r="F390" t="n">
        <x:v>0</x:v>
      </x:c>
      <x:c r="G390" s="25" t="n">
        <x:v>0.242742</x:v>
      </x:c>
      <x:c r="H390" t="n">
        <x:f>IF(G390&lt;$B$6,1,0)</x:f>
        <x:v>0</x:v>
      </x:c>
      <x:c r="I390" s="26" t="n">
        <x:f>H390*IF(F390=0,E390*$B$7,-E390*$B$8)</x:f>
        <x:v>0</x:v>
      </x:c>
    </x:row>
    <x:row r="391">
      <x:c r="A391" t="n">
        <x:v>9790</x:v>
      </x:c>
      <x:c r="B391" t="str">
        <x:v>2024-07</x:v>
      </x:c>
      <x:c r="C391" t="str">
        <x:v>Self employed</x:v>
      </x:c>
      <x:c r="D391" t="str">
        <x:v>Group A</x:v>
      </x:c>
      <x:c r="E391" s="26" t="n">
        <x:v>29784.82</x:v>
      </x:c>
      <x:c r="F391" t="n">
        <x:v>1</x:v>
      </x:c>
      <x:c r="G391" s="25" t="n">
        <x:v>0.329058</x:v>
      </x:c>
      <x:c r="H391" t="n">
        <x:f>IF(G391&lt;$B$6,1,0)</x:f>
        <x:v>0</x:v>
      </x:c>
      <x:c r="I391" s="26" t="n">
        <x:f>H391*IF(F391=0,E391*$B$7,-E391*$B$8)</x:f>
        <x:v>0</x:v>
      </x:c>
    </x:row>
    <x:row r="392">
      <x:c r="A392" t="n">
        <x:v>9792</x:v>
      </x:c>
      <x:c r="B392" t="str">
        <x:v>2024-07</x:v>
      </x:c>
      <x:c r="C392" t="str">
        <x:v>Salaried</x:v>
      </x:c>
      <x:c r="D392" t="str">
        <x:v>Group B</x:v>
      </x:c>
      <x:c r="E392" s="26" t="n">
        <x:v>11178.87</x:v>
      </x:c>
      <x:c r="F392" t="n">
        <x:v>0</x:v>
      </x:c>
      <x:c r="G392" s="25" t="n">
        <x:v>0.320709</x:v>
      </x:c>
      <x:c r="H392" t="n">
        <x:f>IF(G392&lt;$B$6,1,0)</x:f>
        <x:v>0</x:v>
      </x:c>
      <x:c r="I392" s="26" t="n">
        <x:f>H392*IF(F392=0,E392*$B$7,-E392*$B$8)</x:f>
        <x:v>0</x:v>
      </x:c>
    </x:row>
    <x:row r="393">
      <x:c r="A393" t="n">
        <x:v>9825</x:v>
      </x:c>
      <x:c r="B393" t="str">
        <x:v>2024-07</x:v>
      </x:c>
      <x:c r="C393" t="str">
        <x:v>Salaried</x:v>
      </x:c>
      <x:c r="D393" t="str">
        <x:v>Group A</x:v>
      </x:c>
      <x:c r="E393" s="26" t="n">
        <x:v>30956.44</x:v>
      </x:c>
      <x:c r="F393" t="n">
        <x:v>1</x:v>
      </x:c>
      <x:c r="G393" s="25" t="n">
        <x:v>0.107675</x:v>
      </x:c>
      <x:c r="H393" t="n">
        <x:f>IF(G393&lt;$B$6,1,0)</x:f>
        <x:v>1</x:v>
      </x:c>
      <x:c r="I393" s="26" t="n">
        <x:f>H393*IF(F393=0,E393*$B$7,-E393*$B$8)</x:f>
        <x:v>-20121.686</x:v>
      </x:c>
    </x:row>
    <x:row r="394">
      <x:c r="A394" t="n">
        <x:v>9838</x:v>
      </x:c>
      <x:c r="B394" t="str">
        <x:v>2024-07</x:v>
      </x:c>
      <x:c r="C394" t="str">
        <x:v>Salaried</x:v>
      </x:c>
      <x:c r="D394" t="str">
        <x:v>Group B</x:v>
      </x:c>
      <x:c r="E394" s="26" t="n">
        <x:v>32978.7</x:v>
      </x:c>
      <x:c r="F394" t="n">
        <x:v>0</x:v>
      </x:c>
      <x:c r="G394" s="25" t="n">
        <x:v>0.181861</x:v>
      </x:c>
      <x:c r="H394" t="n">
        <x:f>IF(G394&lt;$B$6,1,0)</x:f>
        <x:v>0</x:v>
      </x:c>
      <x:c r="I394" s="26" t="n">
        <x:f>H394*IF(F394=0,E394*$B$7,-E394*$B$8)</x:f>
        <x:v>0</x:v>
      </x:c>
    </x:row>
    <x:row r="395">
      <x:c r="A395" t="n">
        <x:v>9851</x:v>
      </x:c>
      <x:c r="B395" t="str">
        <x:v>2024-07</x:v>
      </x:c>
      <x:c r="C395" t="str">
        <x:v>Self employed</x:v>
      </x:c>
      <x:c r="D395" t="str">
        <x:v>Group B</x:v>
      </x:c>
      <x:c r="E395" s="26" t="n">
        <x:v>14017.58</x:v>
      </x:c>
      <x:c r="F395" t="n">
        <x:v>0</x:v>
      </x:c>
      <x:c r="G395" s="25" t="n">
        <x:v>0.237596</x:v>
      </x:c>
      <x:c r="H395" t="n">
        <x:f>IF(G395&lt;$B$6,1,0)</x:f>
        <x:v>0</x:v>
      </x:c>
      <x:c r="I395" s="26" t="n">
        <x:f>H395*IF(F395=0,E395*$B$7,-E395*$B$8)</x:f>
        <x:v>0</x:v>
      </x:c>
    </x:row>
    <x:row r="396">
      <x:c r="A396" t="n">
        <x:v>9860</x:v>
      </x:c>
      <x:c r="B396" t="str">
        <x:v>2024-07</x:v>
      </x:c>
      <x:c r="C396" t="str">
        <x:v>Salaried</x:v>
      </x:c>
      <x:c r="D396" t="str">
        <x:v>Group A</x:v>
      </x:c>
      <x:c r="E396" s="26" t="n">
        <x:v>23252.21</x:v>
      </x:c>
      <x:c r="F396" t="n">
        <x:v>0</x:v>
      </x:c>
      <x:c r="G396" s="25" t="n">
        <x:v>0.07306</x:v>
      </x:c>
      <x:c r="H396" t="n">
        <x:f>IF(G396&lt;$B$6,1,0)</x:f>
        <x:v>1</x:v>
      </x:c>
      <x:c r="I396" s="26" t="n">
        <x:f>H396*IF(F396=0,E396*$B$7,-E396*$B$8)</x:f>
        <x:v>2790.2652</x:v>
      </x:c>
    </x:row>
    <x:row r="397">
      <x:c r="A397" t="n">
        <x:v>9917</x:v>
      </x:c>
      <x:c r="B397" t="str">
        <x:v>2024-07</x:v>
      </x:c>
      <x:c r="C397" t="str">
        <x:v>Salaried</x:v>
      </x:c>
      <x:c r="D397" t="str">
        <x:v>Group A</x:v>
      </x:c>
      <x:c r="E397" s="26" t="n">
        <x:v>11701.69</x:v>
      </x:c>
      <x:c r="F397" t="n">
        <x:v>0</x:v>
      </x:c>
      <x:c r="G397" s="25" t="n">
        <x:v>0.066465</x:v>
      </x:c>
      <x:c r="H397" t="n">
        <x:f>IF(G397&lt;$B$6,1,0)</x:f>
        <x:v>1</x:v>
      </x:c>
      <x:c r="I397" s="26" t="n">
        <x:f>H397*IF(F397=0,E397*$B$7,-E397*$B$8)</x:f>
        <x:v>1404.2028</x:v>
      </x:c>
    </x:row>
    <x:row r="398">
      <x:c r="A398" t="n">
        <x:v>9925</x:v>
      </x:c>
      <x:c r="B398" t="str">
        <x:v>2024-07</x:v>
      </x:c>
      <x:c r="C398" t="str">
        <x:v>Contract</x:v>
      </x:c>
      <x:c r="D398" t="str">
        <x:v>Group A</x:v>
      </x:c>
      <x:c r="E398" s="26" t="n">
        <x:v>4325.73</x:v>
      </x:c>
      <x:c r="F398" t="n">
        <x:v>0</x:v>
      </x:c>
      <x:c r="G398" s="25" t="n">
        <x:v>0.44514</x:v>
      </x:c>
      <x:c r="H398" t="n">
        <x:f>IF(G398&lt;$B$6,1,0)</x:f>
        <x:v>0</x:v>
      </x:c>
      <x:c r="I398" s="26" t="n">
        <x:f>H398*IF(F398=0,E398*$B$7,-E398*$B$8)</x:f>
        <x:v>0</x:v>
      </x:c>
    </x:row>
    <x:row r="399">
      <x:c r="A399" t="n">
        <x:v>9959</x:v>
      </x:c>
      <x:c r="B399" t="str">
        <x:v>2024-07</x:v>
      </x:c>
      <x:c r="C399" t="str">
        <x:v>Salaried</x:v>
      </x:c>
      <x:c r="D399" t="str">
        <x:v>Group A</x:v>
      </x:c>
      <x:c r="E399" s="26" t="n">
        <x:v>8438.18</x:v>
      </x:c>
      <x:c r="F399" t="n">
        <x:v>0</x:v>
      </x:c>
      <x:c r="G399" s="25" t="n">
        <x:v>0.106523</x:v>
      </x:c>
      <x:c r="H399" t="n">
        <x:f>IF(G399&lt;$B$6,1,0)</x:f>
        <x:v>1</x:v>
      </x:c>
      <x:c r="I399" s="26" t="n">
        <x:f>H399*IF(F399=0,E399*$B$7,-E399*$B$8)</x:f>
        <x:v>1012.5816</x:v>
      </x:c>
    </x:row>
    <x:row r="400">
      <x:c r="A400" t="n">
        <x:v>9971</x:v>
      </x:c>
      <x:c r="B400" t="str">
        <x:v>2024-07</x:v>
      </x:c>
      <x:c r="C400" t="str">
        <x:v>Self employed</x:v>
      </x:c>
      <x:c r="D400" t="str">
        <x:v>Group B</x:v>
      </x:c>
      <x:c r="E400" s="26" t="n">
        <x:v>38650.77</x:v>
      </x:c>
      <x:c r="F400" t="n">
        <x:v>0</x:v>
      </x:c>
      <x:c r="G400" s="25" t="n">
        <x:v>0.217823</x:v>
      </x:c>
      <x:c r="H400" t="n">
        <x:f>IF(G400&lt;$B$6,1,0)</x:f>
        <x:v>0</x:v>
      </x:c>
      <x:c r="I400" s="26" t="n">
        <x:f>H400*IF(F400=0,E400*$B$7,-E400*$B$8)</x:f>
        <x:v>0</x:v>
      </x:c>
    </x:row>
    <x:row r="401">
      <x:c r="A401" t="n">
        <x:v>9977</x:v>
      </x:c>
      <x:c r="B401" t="str">
        <x:v>2024-07</x:v>
      </x:c>
      <x:c r="C401" t="str">
        <x:v>Salaried</x:v>
      </x:c>
      <x:c r="D401" t="str">
        <x:v>Group A</x:v>
      </x:c>
      <x:c r="E401" s="26" t="n">
        <x:v>18177.93</x:v>
      </x:c>
      <x:c r="F401" t="n">
        <x:v>0</x:v>
      </x:c>
      <x:c r="G401" s="25" t="n">
        <x:v>0.582867</x:v>
      </x:c>
      <x:c r="H401" t="n">
        <x:f>IF(G401&lt;$B$6,1,0)</x:f>
        <x:v>0</x:v>
      </x:c>
      <x:c r="I401" s="26" t="n">
        <x:f>H401*IF(F401=0,E401*$B$7,-E401*$B$8)</x:f>
        <x:v>0</x:v>
      </x:c>
    </x:row>
    <x:row r="402">
      <x:c r="A402" t="n">
        <x:v>9981</x:v>
      </x:c>
      <x:c r="B402" t="str">
        <x:v>2024-07</x:v>
      </x:c>
      <x:c r="C402" t="str">
        <x:v>Self employed</x:v>
      </x:c>
      <x:c r="D402" t="str">
        <x:v>Group B</x:v>
      </x:c>
      <x:c r="E402" s="26" t="n">
        <x:v>11875.83</x:v>
      </x:c>
      <x:c r="F402" t="n">
        <x:v>0</x:v>
      </x:c>
      <x:c r="G402" s="25" t="n">
        <x:v>0.192469</x:v>
      </x:c>
      <x:c r="H402" t="n">
        <x:f>IF(G402&lt;$B$6,1,0)</x:f>
        <x:v>0</x:v>
      </x:c>
      <x:c r="I402" s="26" t="n">
        <x:f>H402*IF(F402=0,E402*$B$7,-E402*$B$8)</x:f>
        <x:v>0</x:v>
      </x:c>
    </x:row>
    <x:row r="403">
      <x:c r="A403" t="n">
        <x:v>9997</x:v>
      </x:c>
      <x:c r="B403" t="str">
        <x:v>2024-07</x:v>
      </x:c>
      <x:c r="C403" t="str">
        <x:v>Self employed</x:v>
      </x:c>
      <x:c r="D403" t="str">
        <x:v>Group A</x:v>
      </x:c>
      <x:c r="E403" s="26" t="n">
        <x:v>9237.39</x:v>
      </x:c>
      <x:c r="F403" t="n">
        <x:v>1</x:v>
      </x:c>
      <x:c r="G403" s="25" t="n">
        <x:v>0.055916</x:v>
      </x:c>
      <x:c r="H403" t="n">
        <x:f>IF(G403&lt;$B$6,1,0)</x:f>
        <x:v>1</x:v>
      </x:c>
      <x:c r="I403" s="26" t="n">
        <x:f>H403*IF(F403=0,E403*$B$7,-E403*$B$8)</x:f>
        <x:v>-6004.3035</x:v>
      </x:c>
    </x:row>
    <x:row r="404">
      <x:c r="A404" t="n">
        <x:v>1</x:v>
      </x:c>
      <x:c r="B404" t="str">
        <x:v>2024-08</x:v>
      </x:c>
      <x:c r="C404" t="str">
        <x:v>Salaried</x:v>
      </x:c>
      <x:c r="D404" t="str">
        <x:v>Group A</x:v>
      </x:c>
      <x:c r="E404" s="26" t="n">
        <x:v>13777.42</x:v>
      </x:c>
      <x:c r="F404" t="n">
        <x:v>0</x:v>
      </x:c>
      <x:c r="G404" s="25" t="n">
        <x:v>0.057872</x:v>
      </x:c>
      <x:c r="H404" t="n">
        <x:f>IF(G404&lt;$B$6,1,0)</x:f>
        <x:v>1</x:v>
      </x:c>
      <x:c r="I404" s="26" t="n">
        <x:f>H404*IF(F404=0,E404*$B$7,-E404*$B$8)</x:f>
        <x:v>1653.2903999999999</x:v>
      </x:c>
    </x:row>
    <x:row r="405">
      <x:c r="A405" t="n">
        <x:v>25</x:v>
      </x:c>
      <x:c r="B405" t="str">
        <x:v>2024-08</x:v>
      </x:c>
      <x:c r="C405" t="str">
        <x:v>Self employed</x:v>
      </x:c>
      <x:c r="D405" t="str">
        <x:v>Group A</x:v>
      </x:c>
      <x:c r="E405" s="26" t="n">
        <x:v>42341.53</x:v>
      </x:c>
      <x:c r="F405" t="n">
        <x:v>0</x:v>
      </x:c>
      <x:c r="G405" s="25" t="n">
        <x:v>0.120273</x:v>
      </x:c>
      <x:c r="H405" t="n">
        <x:f>IF(G405&lt;$B$6,1,0)</x:f>
        <x:v>1</x:v>
      </x:c>
      <x:c r="I405" s="26" t="n">
        <x:f>H405*IF(F405=0,E405*$B$7,-E405*$B$8)</x:f>
        <x:v>5080.9836</x:v>
      </x:c>
    </x:row>
    <x:row r="406">
      <x:c r="A406" t="n">
        <x:v>38</x:v>
      </x:c>
      <x:c r="B406" t="str">
        <x:v>2024-08</x:v>
      </x:c>
      <x:c r="C406" t="str">
        <x:v>Self employed</x:v>
      </x:c>
      <x:c r="D406" t="str">
        <x:v>Group B</x:v>
      </x:c>
      <x:c r="E406" s="26" t="n">
        <x:v>8519.59</x:v>
      </x:c>
      <x:c r="F406" t="n">
        <x:v>0</x:v>
      </x:c>
      <x:c r="G406" s="25" t="n">
        <x:v>0.19652</x:v>
      </x:c>
      <x:c r="H406" t="n">
        <x:f>IF(G406&lt;$B$6,1,0)</x:f>
        <x:v>0</x:v>
      </x:c>
      <x:c r="I406" s="26" t="n">
        <x:f>H406*IF(F406=0,E406*$B$7,-E406*$B$8)</x:f>
        <x:v>0</x:v>
      </x:c>
    </x:row>
    <x:row r="407">
      <x:c r="A407" t="n">
        <x:v>43</x:v>
      </x:c>
      <x:c r="B407" t="str">
        <x:v>2024-08</x:v>
      </x:c>
      <x:c r="C407" t="str">
        <x:v>Salaried</x:v>
      </x:c>
      <x:c r="D407" t="str">
        <x:v>Group A</x:v>
      </x:c>
      <x:c r="E407" s="26" t="n">
        <x:v>15322.82</x:v>
      </x:c>
      <x:c r="F407" t="n">
        <x:v>1</x:v>
      </x:c>
      <x:c r="G407" s="25" t="n">
        <x:v>0.136296</x:v>
      </x:c>
      <x:c r="H407" t="n">
        <x:f>IF(G407&lt;$B$6,1,0)</x:f>
        <x:v>1</x:v>
      </x:c>
      <x:c r="I407" s="26" t="n">
        <x:f>H407*IF(F407=0,E407*$B$7,-E407*$B$8)</x:f>
        <x:v>-9959.833</x:v>
      </x:c>
    </x:row>
    <x:row r="408">
      <x:c r="A408" t="n">
        <x:v>47</x:v>
      </x:c>
      <x:c r="B408" t="str">
        <x:v>2024-08</x:v>
      </x:c>
      <x:c r="C408" t="str">
        <x:v>Salaried</x:v>
      </x:c>
      <x:c r="D408" t="str">
        <x:v>Group B</x:v>
      </x:c>
      <x:c r="E408" s="26" t="n">
        <x:v>4562.01</x:v>
      </x:c>
      <x:c r="F408" t="n">
        <x:v>1</x:v>
      </x:c>
      <x:c r="G408" s="25" t="n">
        <x:v>0.318927</x:v>
      </x:c>
      <x:c r="H408" t="n">
        <x:f>IF(G408&lt;$B$6,1,0)</x:f>
        <x:v>0</x:v>
      </x:c>
      <x:c r="I408" s="26" t="n">
        <x:f>H408*IF(F408=0,E408*$B$7,-E408*$B$8)</x:f>
        <x:v>0</x:v>
      </x:c>
    </x:row>
    <x:row r="409">
      <x:c r="A409" t="n">
        <x:v>70</x:v>
      </x:c>
      <x:c r="B409" t="str">
        <x:v>2024-08</x:v>
      </x:c>
      <x:c r="C409" t="str">
        <x:v>Self employed</x:v>
      </x:c>
      <x:c r="D409" t="str">
        <x:v>Group B</x:v>
      </x:c>
      <x:c r="E409" s="26" t="n">
        <x:v>15367.37</x:v>
      </x:c>
      <x:c r="F409" t="n">
        <x:v>0</x:v>
      </x:c>
      <x:c r="G409" s="25" t="n">
        <x:v>0.133355</x:v>
      </x:c>
      <x:c r="H409" t="n">
        <x:f>IF(G409&lt;$B$6,1,0)</x:f>
        <x:v>1</x:v>
      </x:c>
      <x:c r="I409" s="26" t="n">
        <x:f>H409*IF(F409=0,E409*$B$7,-E409*$B$8)</x:f>
        <x:v>1844.0844</x:v>
      </x:c>
    </x:row>
    <x:row r="410">
      <x:c r="A410" t="n">
        <x:v>109</x:v>
      </x:c>
      <x:c r="B410" t="str">
        <x:v>2024-08</x:v>
      </x:c>
      <x:c r="C410" t="str">
        <x:v>Salaried</x:v>
      </x:c>
      <x:c r="D410" t="str">
        <x:v>Group B</x:v>
      </x:c>
      <x:c r="E410" s="26" t="n">
        <x:v>38642.47</x:v>
      </x:c>
      <x:c r="F410" t="n">
        <x:v>0</x:v>
      </x:c>
      <x:c r="G410" s="25" t="n">
        <x:v>0.058216</x:v>
      </x:c>
      <x:c r="H410" t="n">
        <x:f>IF(G410&lt;$B$6,1,0)</x:f>
        <x:v>1</x:v>
      </x:c>
      <x:c r="I410" s="26" t="n">
        <x:f>H410*IF(F410=0,E410*$B$7,-E410*$B$8)</x:f>
        <x:v>4637.0964</x:v>
      </x:c>
    </x:row>
    <x:row r="411">
      <x:c r="A411" t="n">
        <x:v>116</x:v>
      </x:c>
      <x:c r="B411" t="str">
        <x:v>2024-08</x:v>
      </x:c>
      <x:c r="C411" t="str">
        <x:v>Salaried</x:v>
      </x:c>
      <x:c r="D411" t="str">
        <x:v>Group B</x:v>
      </x:c>
      <x:c r="E411" s="26" t="n">
        <x:v>15287.4</x:v>
      </x:c>
      <x:c r="F411" t="n">
        <x:v>0</x:v>
      </x:c>
      <x:c r="G411" s="25" t="n">
        <x:v>0.263826</x:v>
      </x:c>
      <x:c r="H411" t="n">
        <x:f>IF(G411&lt;$B$6,1,0)</x:f>
        <x:v>0</x:v>
      </x:c>
      <x:c r="I411" s="26" t="n">
        <x:f>H411*IF(F411=0,E411*$B$7,-E411*$B$8)</x:f>
        <x:v>0</x:v>
      </x:c>
    </x:row>
    <x:row r="412">
      <x:c r="A412" t="n">
        <x:v>145</x:v>
      </x:c>
      <x:c r="B412" t="str">
        <x:v>2024-08</x:v>
      </x:c>
      <x:c r="C412" t="str">
        <x:v>Self employed</x:v>
      </x:c>
      <x:c r="D412" t="str">
        <x:v>Group B</x:v>
      </x:c>
      <x:c r="E412" s="26" t="n">
        <x:v>30299.1</x:v>
      </x:c>
      <x:c r="F412" t="n">
        <x:v>0</x:v>
      </x:c>
      <x:c r="G412" s="25" t="n">
        <x:v>0.590937</x:v>
      </x:c>
      <x:c r="H412" t="n">
        <x:f>IF(G412&lt;$B$6,1,0)</x:f>
        <x:v>0</x:v>
      </x:c>
      <x:c r="I412" s="26" t="n">
        <x:f>H412*IF(F412=0,E412*$B$7,-E412*$B$8)</x:f>
        <x:v>0</x:v>
      </x:c>
    </x:row>
    <x:row r="413">
      <x:c r="A413" t="n">
        <x:v>200</x:v>
      </x:c>
      <x:c r="B413" t="str">
        <x:v>2024-08</x:v>
      </x:c>
      <x:c r="C413" t="str">
        <x:v>Self employed</x:v>
      </x:c>
      <x:c r="D413" t="str">
        <x:v>Group B</x:v>
      </x:c>
      <x:c r="E413" s="26" t="n">
        <x:v>18029.76</x:v>
      </x:c>
      <x:c r="F413" t="n">
        <x:v>0</x:v>
      </x:c>
      <x:c r="G413" s="25" t="n">
        <x:v>0.395331</x:v>
      </x:c>
      <x:c r="H413" t="n">
        <x:f>IF(G413&lt;$B$6,1,0)</x:f>
        <x:v>0</x:v>
      </x:c>
      <x:c r="I413" s="26" t="n">
        <x:f>H413*IF(F413=0,E413*$B$7,-E413*$B$8)</x:f>
        <x:v>0</x:v>
      </x:c>
    </x:row>
    <x:row r="414">
      <x:c r="A414" t="n">
        <x:v>207</x:v>
      </x:c>
      <x:c r="B414" t="str">
        <x:v>2024-08</x:v>
      </x:c>
      <x:c r="C414" t="str">
        <x:v>Self employed</x:v>
      </x:c>
      <x:c r="D414" t="str">
        <x:v>Group B</x:v>
      </x:c>
      <x:c r="E414" s="26" t="n">
        <x:v>22319.14</x:v>
      </x:c>
      <x:c r="F414" t="n">
        <x:v>0</x:v>
      </x:c>
      <x:c r="G414" s="25" t="n">
        <x:v>0.493492</x:v>
      </x:c>
      <x:c r="H414" t="n">
        <x:f>IF(G414&lt;$B$6,1,0)</x:f>
        <x:v>0</x:v>
      </x:c>
      <x:c r="I414" s="26" t="n">
        <x:f>H414*IF(F414=0,E414*$B$7,-E414*$B$8)</x:f>
        <x:v>0</x:v>
      </x:c>
    </x:row>
    <x:row r="415">
      <x:c r="A415" t="n">
        <x:v>214</x:v>
      </x:c>
      <x:c r="B415" t="str">
        <x:v>2024-08</x:v>
      </x:c>
      <x:c r="C415" t="str">
        <x:v>Self employed</x:v>
      </x:c>
      <x:c r="D415" t="str">
        <x:v>Group A</x:v>
      </x:c>
      <x:c r="E415" s="26" t="n">
        <x:v>31249.52</x:v>
      </x:c>
      <x:c r="F415" t="n">
        <x:v>1</x:v>
      </x:c>
      <x:c r="G415" s="25" t="n">
        <x:v>0.364265</x:v>
      </x:c>
      <x:c r="H415" t="n">
        <x:f>IF(G415&lt;$B$6,1,0)</x:f>
        <x:v>0</x:v>
      </x:c>
      <x:c r="I415" s="26" t="n">
        <x:f>H415*IF(F415=0,E415*$B$7,-E415*$B$8)</x:f>
        <x:v>0</x:v>
      </x:c>
    </x:row>
    <x:row r="416">
      <x:c r="A416" t="n">
        <x:v>225</x:v>
      </x:c>
      <x:c r="B416" t="str">
        <x:v>2024-08</x:v>
      </x:c>
      <x:c r="C416" t="str">
        <x:v>Salaried</x:v>
      </x:c>
      <x:c r="D416" t="str">
        <x:v>Group A</x:v>
      </x:c>
      <x:c r="E416" s="26" t="n">
        <x:v>8988.48</x:v>
      </x:c>
      <x:c r="F416" t="n">
        <x:v>0</x:v>
      </x:c>
      <x:c r="G416" s="25" t="n">
        <x:v>0.137129</x:v>
      </x:c>
      <x:c r="H416" t="n">
        <x:f>IF(G416&lt;$B$6,1,0)</x:f>
        <x:v>1</x:v>
      </x:c>
      <x:c r="I416" s="26" t="n">
        <x:f>H416*IF(F416=0,E416*$B$7,-E416*$B$8)</x:f>
        <x:v>1078.6175999999998</x:v>
      </x:c>
    </x:row>
    <x:row r="417">
      <x:c r="A417" t="n">
        <x:v>228</x:v>
      </x:c>
      <x:c r="B417" t="str">
        <x:v>2024-08</x:v>
      </x:c>
      <x:c r="C417" t="str">
        <x:v>Salaried</x:v>
      </x:c>
      <x:c r="D417" t="str">
        <x:v>Group B</x:v>
      </x:c>
      <x:c r="E417" s="26" t="n">
        <x:v>10809.22</x:v>
      </x:c>
      <x:c r="F417" t="n">
        <x:v>0</x:v>
      </x:c>
      <x:c r="G417" s="25" t="n">
        <x:v>0.053436</x:v>
      </x:c>
      <x:c r="H417" t="n">
        <x:f>IF(G417&lt;$B$6,1,0)</x:f>
        <x:v>1</x:v>
      </x:c>
      <x:c r="I417" s="26" t="n">
        <x:f>H417*IF(F417=0,E417*$B$7,-E417*$B$8)</x:f>
        <x:v>1297.1064</x:v>
      </x:c>
    </x:row>
    <x:row r="418">
      <x:c r="A418" t="n">
        <x:v>239</x:v>
      </x:c>
      <x:c r="B418" t="str">
        <x:v>2024-08</x:v>
      </x:c>
      <x:c r="C418" t="str">
        <x:v>Self employed</x:v>
      </x:c>
      <x:c r="D418" t="str">
        <x:v>Group B</x:v>
      </x:c>
      <x:c r="E418" s="26" t="n">
        <x:v>7684.35</x:v>
      </x:c>
      <x:c r="F418" t="n">
        <x:v>0</x:v>
      </x:c>
      <x:c r="G418" s="25" t="n">
        <x:v>0.148232</x:v>
      </x:c>
      <x:c r="H418" t="n">
        <x:f>IF(G418&lt;$B$6,1,0)</x:f>
        <x:v>1</x:v>
      </x:c>
      <x:c r="I418" s="26" t="n">
        <x:f>H418*IF(F418=0,E418*$B$7,-E418*$B$8)</x:f>
        <x:v>922.122</x:v>
      </x:c>
    </x:row>
    <x:row r="419">
      <x:c r="A419" t="n">
        <x:v>280</x:v>
      </x:c>
      <x:c r="B419" t="str">
        <x:v>2024-08</x:v>
      </x:c>
      <x:c r="C419" t="str">
        <x:v>Salaried</x:v>
      </x:c>
      <x:c r="D419" t="str">
        <x:v>Group A</x:v>
      </x:c>
      <x:c r="E419" s="26" t="n">
        <x:v>4988.28</x:v>
      </x:c>
      <x:c r="F419" t="n">
        <x:v>0</x:v>
      </x:c>
      <x:c r="G419" s="25" t="n">
        <x:v>0.18624</x:v>
      </x:c>
      <x:c r="H419" t="n">
        <x:f>IF(G419&lt;$B$6,1,0)</x:f>
        <x:v>0</x:v>
      </x:c>
      <x:c r="I419" s="26" t="n">
        <x:f>H419*IF(F419=0,E419*$B$7,-E419*$B$8)</x:f>
        <x:v>0</x:v>
      </x:c>
    </x:row>
    <x:row r="420">
      <x:c r="A420" t="n">
        <x:v>288</x:v>
      </x:c>
      <x:c r="B420" t="str">
        <x:v>2024-08</x:v>
      </x:c>
      <x:c r="C420" t="str">
        <x:v>Salaried</x:v>
      </x:c>
      <x:c r="D420" t="str">
        <x:v>Group B</x:v>
      </x:c>
      <x:c r="E420" s="26" t="n">
        <x:v>10575.07</x:v>
      </x:c>
      <x:c r="F420" t="n">
        <x:v>0</x:v>
      </x:c>
      <x:c r="G420" s="25" t="n">
        <x:v>0.095151</x:v>
      </x:c>
      <x:c r="H420" t="n">
        <x:f>IF(G420&lt;$B$6,1,0)</x:f>
        <x:v>1</x:v>
      </x:c>
      <x:c r="I420" s="26" t="n">
        <x:f>H420*IF(F420=0,E420*$B$7,-E420*$B$8)</x:f>
        <x:v>1269.0084</x:v>
      </x:c>
    </x:row>
    <x:row r="421">
      <x:c r="A421" t="n">
        <x:v>291</x:v>
      </x:c>
      <x:c r="B421" t="str">
        <x:v>2024-08</x:v>
      </x:c>
      <x:c r="C421" t="str">
        <x:v>Self employed</x:v>
      </x:c>
      <x:c r="D421" t="str">
        <x:v>Group B</x:v>
      </x:c>
      <x:c r="E421" s="26" t="n">
        <x:v>22347.22</x:v>
      </x:c>
      <x:c r="F421" t="n">
        <x:v>0</x:v>
      </x:c>
      <x:c r="G421" s="25" t="n">
        <x:v>0.129775</x:v>
      </x:c>
      <x:c r="H421" t="n">
        <x:f>IF(G421&lt;$B$6,1,0)</x:f>
        <x:v>1</x:v>
      </x:c>
      <x:c r="I421" s="26" t="n">
        <x:f>H421*IF(F421=0,E421*$B$7,-E421*$B$8)</x:f>
        <x:v>2681.6664</x:v>
      </x:c>
    </x:row>
    <x:row r="422">
      <x:c r="A422" t="n">
        <x:v>299</x:v>
      </x:c>
      <x:c r="B422" t="str">
        <x:v>2024-08</x:v>
      </x:c>
      <x:c r="C422" t="str">
        <x:v>Self employed</x:v>
      </x:c>
      <x:c r="D422" t="str">
        <x:v>Group B</x:v>
      </x:c>
      <x:c r="E422" s="26" t="n">
        <x:v>5705.92</x:v>
      </x:c>
      <x:c r="F422" t="n">
        <x:v>0</x:v>
      </x:c>
      <x:c r="G422" s="25" t="n">
        <x:v>0.150962</x:v>
      </x:c>
      <x:c r="H422" t="n">
        <x:f>IF(G422&lt;$B$6,1,0)</x:f>
        <x:v>1</x:v>
      </x:c>
      <x:c r="I422" s="26" t="n">
        <x:f>H422*IF(F422=0,E422*$B$7,-E422*$B$8)</x:f>
        <x:v>684.7103999999999</x:v>
      </x:c>
    </x:row>
    <x:row r="423">
      <x:c r="A423" t="n">
        <x:v>305</x:v>
      </x:c>
      <x:c r="B423" t="str">
        <x:v>2024-08</x:v>
      </x:c>
      <x:c r="C423" t="str">
        <x:v>Salaried</x:v>
      </x:c>
      <x:c r="D423" t="str">
        <x:v>Group B</x:v>
      </x:c>
      <x:c r="E423" s="26" t="n">
        <x:v>37342.19</x:v>
      </x:c>
      <x:c r="F423" t="n">
        <x:v>0</x:v>
      </x:c>
      <x:c r="G423" s="25" t="n">
        <x:v>0.178756</x:v>
      </x:c>
      <x:c r="H423" t="n">
        <x:f>IF(G423&lt;$B$6,1,0)</x:f>
        <x:v>0</x:v>
      </x:c>
      <x:c r="I423" s="26" t="n">
        <x:f>H423*IF(F423=0,E423*$B$7,-E423*$B$8)</x:f>
        <x:v>0</x:v>
      </x:c>
    </x:row>
    <x:row r="424">
      <x:c r="A424" t="n">
        <x:v>327</x:v>
      </x:c>
      <x:c r="B424" t="str">
        <x:v>2024-08</x:v>
      </x:c>
      <x:c r="C424" t="str">
        <x:v>Contract</x:v>
      </x:c>
      <x:c r="D424" t="str">
        <x:v>Group A</x:v>
      </x:c>
      <x:c r="E424" s="26" t="n">
        <x:v>6398.29</x:v>
      </x:c>
      <x:c r="F424" t="n">
        <x:v>0</x:v>
      </x:c>
      <x:c r="G424" s="25" t="n">
        <x:v>0.23365</x:v>
      </x:c>
      <x:c r="H424" t="n">
        <x:f>IF(G424&lt;$B$6,1,0)</x:f>
        <x:v>0</x:v>
      </x:c>
      <x:c r="I424" s="26" t="n">
        <x:f>H424*IF(F424=0,E424*$B$7,-E424*$B$8)</x:f>
        <x:v>0</x:v>
      </x:c>
    </x:row>
    <x:row r="425">
      <x:c r="A425" t="n">
        <x:v>358</x:v>
      </x:c>
      <x:c r="B425" t="str">
        <x:v>2024-08</x:v>
      </x:c>
      <x:c r="C425" t="str">
        <x:v>Salaried</x:v>
      </x:c>
      <x:c r="D425" t="str">
        <x:v>Group A</x:v>
      </x:c>
      <x:c r="E425" s="26" t="n">
        <x:v>9983.36</x:v>
      </x:c>
      <x:c r="F425" t="n">
        <x:v>0</x:v>
      </x:c>
      <x:c r="G425" s="25" t="n">
        <x:v>0.500218</x:v>
      </x:c>
      <x:c r="H425" t="n">
        <x:f>IF(G425&lt;$B$6,1,0)</x:f>
        <x:v>0</x:v>
      </x:c>
      <x:c r="I425" s="26" t="n">
        <x:f>H425*IF(F425=0,E425*$B$7,-E425*$B$8)</x:f>
        <x:v>0</x:v>
      </x:c>
    </x:row>
    <x:row r="426">
      <x:c r="A426" t="n">
        <x:v>470</x:v>
      </x:c>
      <x:c r="B426" t="str">
        <x:v>2024-08</x:v>
      </x:c>
      <x:c r="C426" t="str">
        <x:v>Salaried</x:v>
      </x:c>
      <x:c r="D426" t="str">
        <x:v>Group A</x:v>
      </x:c>
      <x:c r="E426" s="26" t="n">
        <x:v>11615.58</x:v>
      </x:c>
      <x:c r="F426" t="n">
        <x:v>0</x:v>
      </x:c>
      <x:c r="G426" s="25" t="n">
        <x:v>0.332264</x:v>
      </x:c>
      <x:c r="H426" t="n">
        <x:f>IF(G426&lt;$B$6,1,0)</x:f>
        <x:v>0</x:v>
      </x:c>
      <x:c r="I426" s="26" t="n">
        <x:f>H426*IF(F426=0,E426*$B$7,-E426*$B$8)</x:f>
        <x:v>0</x:v>
      </x:c>
    </x:row>
    <x:row r="427">
      <x:c r="A427" t="n">
        <x:v>532</x:v>
      </x:c>
      <x:c r="B427" t="str">
        <x:v>2024-08</x:v>
      </x:c>
      <x:c r="C427" t="str">
        <x:v>Self employed</x:v>
      </x:c>
      <x:c r="D427" t="str">
        <x:v>Group B</x:v>
      </x:c>
      <x:c r="E427" s="26" t="n">
        <x:v>20570.35</x:v>
      </x:c>
      <x:c r="F427" t="n">
        <x:v>0</x:v>
      </x:c>
      <x:c r="G427" s="25" t="n">
        <x:v>0.21443</x:v>
      </x:c>
      <x:c r="H427" t="n">
        <x:f>IF(G427&lt;$B$6,1,0)</x:f>
        <x:v>0</x:v>
      </x:c>
      <x:c r="I427" s="26" t="n">
        <x:f>H427*IF(F427=0,E427*$B$7,-E427*$B$8)</x:f>
        <x:v>0</x:v>
      </x:c>
    </x:row>
    <x:row r="428">
      <x:c r="A428" t="n">
        <x:v>539</x:v>
      </x:c>
      <x:c r="B428" t="str">
        <x:v>2024-08</x:v>
      </x:c>
      <x:c r="C428" t="str">
        <x:v>Salaried</x:v>
      </x:c>
      <x:c r="D428" t="str">
        <x:v>Group A</x:v>
      </x:c>
      <x:c r="E428" s="26" t="n">
        <x:v>35090.12</x:v>
      </x:c>
      <x:c r="F428" t="n">
        <x:v>0</x:v>
      </x:c>
      <x:c r="G428" s="25" t="n">
        <x:v>0.320621</x:v>
      </x:c>
      <x:c r="H428" t="n">
        <x:f>IF(G428&lt;$B$6,1,0)</x:f>
        <x:v>0</x:v>
      </x:c>
      <x:c r="I428" s="26" t="n">
        <x:f>H428*IF(F428=0,E428*$B$7,-E428*$B$8)</x:f>
        <x:v>0</x:v>
      </x:c>
    </x:row>
    <x:row r="429">
      <x:c r="A429" t="n">
        <x:v>548</x:v>
      </x:c>
      <x:c r="B429" t="str">
        <x:v>2024-08</x:v>
      </x:c>
      <x:c r="C429" t="str">
        <x:v>Contract</x:v>
      </x:c>
      <x:c r="D429" t="str">
        <x:v>Group A</x:v>
      </x:c>
      <x:c r="E429" s="26" t="n">
        <x:v>40696.33</x:v>
      </x:c>
      <x:c r="F429" t="n">
        <x:v>0</x:v>
      </x:c>
      <x:c r="G429" s="25" t="n">
        <x:v>0.527738</x:v>
      </x:c>
      <x:c r="H429" t="n">
        <x:f>IF(G429&lt;$B$6,1,0)</x:f>
        <x:v>0</x:v>
      </x:c>
      <x:c r="I429" s="26" t="n">
        <x:f>H429*IF(F429=0,E429*$B$7,-E429*$B$8)</x:f>
        <x:v>0</x:v>
      </x:c>
    </x:row>
    <x:row r="430">
      <x:c r="A430" t="n">
        <x:v>598</x:v>
      </x:c>
      <x:c r="B430" t="str">
        <x:v>2024-08</x:v>
      </x:c>
      <x:c r="C430" t="str">
        <x:v>Salaried</x:v>
      </x:c>
      <x:c r="D430" t="str">
        <x:v>Group B</x:v>
      </x:c>
      <x:c r="E430" s="26" t="n">
        <x:v>28232.35</x:v>
      </x:c>
      <x:c r="F430" t="n">
        <x:v>1</x:v>
      </x:c>
      <x:c r="G430" s="25" t="n">
        <x:v>0.25093</x:v>
      </x:c>
      <x:c r="H430" t="n">
        <x:f>IF(G430&lt;$B$6,1,0)</x:f>
        <x:v>0</x:v>
      </x:c>
      <x:c r="I430" s="26" t="n">
        <x:f>H430*IF(F430=0,E430*$B$7,-E430*$B$8)</x:f>
        <x:v>0</x:v>
      </x:c>
    </x:row>
    <x:row r="431">
      <x:c r="A431" t="n">
        <x:v>677</x:v>
      </x:c>
      <x:c r="B431" t="str">
        <x:v>2024-08</x:v>
      </x:c>
      <x:c r="C431" t="str">
        <x:v>Contract</x:v>
      </x:c>
      <x:c r="D431" t="str">
        <x:v>Group B</x:v>
      </x:c>
      <x:c r="E431" s="26" t="n">
        <x:v>13276.16</x:v>
      </x:c>
      <x:c r="F431" t="n">
        <x:v>0</x:v>
      </x:c>
      <x:c r="G431" s="25" t="n">
        <x:v>0.194614</x:v>
      </x:c>
      <x:c r="H431" t="n">
        <x:f>IF(G431&lt;$B$6,1,0)</x:f>
        <x:v>0</x:v>
      </x:c>
      <x:c r="I431" s="26" t="n">
        <x:f>H431*IF(F431=0,E431*$B$7,-E431*$B$8)</x:f>
        <x:v>0</x:v>
      </x:c>
    </x:row>
    <x:row r="432">
      <x:c r="A432" t="n">
        <x:v>684</x:v>
      </x:c>
      <x:c r="B432" t="str">
        <x:v>2024-08</x:v>
      </x:c>
      <x:c r="C432" t="str">
        <x:v>Salaried</x:v>
      </x:c>
      <x:c r="D432" t="str">
        <x:v>Group A</x:v>
      </x:c>
      <x:c r="E432" s="26" t="n">
        <x:v>10294.6</x:v>
      </x:c>
      <x:c r="F432" t="n">
        <x:v>0</x:v>
      </x:c>
      <x:c r="G432" s="25" t="n">
        <x:v>0.118291</x:v>
      </x:c>
      <x:c r="H432" t="n">
        <x:f>IF(G432&lt;$B$6,1,0)</x:f>
        <x:v>1</x:v>
      </x:c>
      <x:c r="I432" s="26" t="n">
        <x:f>H432*IF(F432=0,E432*$B$7,-E432*$B$8)</x:f>
        <x:v>1235.352</x:v>
      </x:c>
    </x:row>
    <x:row r="433">
      <x:c r="A433" t="n">
        <x:v>687</x:v>
      </x:c>
      <x:c r="B433" t="str">
        <x:v>2024-08</x:v>
      </x:c>
      <x:c r="C433" t="str">
        <x:v>Self employed</x:v>
      </x:c>
      <x:c r="D433" t="str">
        <x:v>Group A</x:v>
      </x:c>
      <x:c r="E433" s="26" t="n">
        <x:v>53950.66</x:v>
      </x:c>
      <x:c r="F433" t="n">
        <x:v>0</x:v>
      </x:c>
      <x:c r="G433" s="25" t="n">
        <x:v>0.31112</x:v>
      </x:c>
      <x:c r="H433" t="n">
        <x:f>IF(G433&lt;$B$6,1,0)</x:f>
        <x:v>0</x:v>
      </x:c>
      <x:c r="I433" s="26" t="n">
        <x:f>H433*IF(F433=0,E433*$B$7,-E433*$B$8)</x:f>
        <x:v>0</x:v>
      </x:c>
    </x:row>
    <x:row r="434">
      <x:c r="A434" t="n">
        <x:v>712</x:v>
      </x:c>
      <x:c r="B434" t="str">
        <x:v>2024-08</x:v>
      </x:c>
      <x:c r="C434" t="str">
        <x:v>Contract</x:v>
      </x:c>
      <x:c r="D434" t="str">
        <x:v>Group B</x:v>
      </x:c>
      <x:c r="E434" s="26" t="n">
        <x:v>19130.07</x:v>
      </x:c>
      <x:c r="F434" t="n">
        <x:v>0</x:v>
      </x:c>
      <x:c r="G434" s="25" t="n">
        <x:v>0.204221</x:v>
      </x:c>
      <x:c r="H434" t="n">
        <x:f>IF(G434&lt;$B$6,1,0)</x:f>
        <x:v>0</x:v>
      </x:c>
      <x:c r="I434" s="26" t="n">
        <x:f>H434*IF(F434=0,E434*$B$7,-E434*$B$8)</x:f>
        <x:v>0</x:v>
      </x:c>
    </x:row>
    <x:row r="435">
      <x:c r="A435" t="n">
        <x:v>781</x:v>
      </x:c>
      <x:c r="B435" t="str">
        <x:v>2024-08</x:v>
      </x:c>
      <x:c r="C435" t="str">
        <x:v>Self employed</x:v>
      </x:c>
      <x:c r="D435" t="str">
        <x:v>Group A</x:v>
      </x:c>
      <x:c r="E435" s="26" t="n">
        <x:v>13436.98</x:v>
      </x:c>
      <x:c r="F435" t="n">
        <x:v>0</x:v>
      </x:c>
      <x:c r="G435" s="25" t="n">
        <x:v>0.076491</x:v>
      </x:c>
      <x:c r="H435" t="n">
        <x:f>IF(G435&lt;$B$6,1,0)</x:f>
        <x:v>1</x:v>
      </x:c>
      <x:c r="I435" s="26" t="n">
        <x:f>H435*IF(F435=0,E435*$B$7,-E435*$B$8)</x:f>
        <x:v>1612.4376</x:v>
      </x:c>
    </x:row>
    <x:row r="436">
      <x:c r="A436" t="n">
        <x:v>786</x:v>
      </x:c>
      <x:c r="B436" t="str">
        <x:v>2024-08</x:v>
      </x:c>
      <x:c r="C436" t="str">
        <x:v>Salaried</x:v>
      </x:c>
      <x:c r="D436" t="str">
        <x:v>Group B</x:v>
      </x:c>
      <x:c r="E436" s="26" t="n">
        <x:v>12136.43</x:v>
      </x:c>
      <x:c r="F436" t="n">
        <x:v>0</x:v>
      </x:c>
      <x:c r="G436" s="25" t="n">
        <x:v>0.081632</x:v>
      </x:c>
      <x:c r="H436" t="n">
        <x:f>IF(G436&lt;$B$6,1,0)</x:f>
        <x:v>1</x:v>
      </x:c>
      <x:c r="I436" s="26" t="n">
        <x:f>H436*IF(F436=0,E436*$B$7,-E436*$B$8)</x:f>
        <x:v>1456.3716</x:v>
      </x:c>
    </x:row>
    <x:row r="437">
      <x:c r="A437" t="n">
        <x:v>821</x:v>
      </x:c>
      <x:c r="B437" t="str">
        <x:v>2024-08</x:v>
      </x:c>
      <x:c r="C437" t="str">
        <x:v>Salaried</x:v>
      </x:c>
      <x:c r="D437" t="str">
        <x:v>Group A</x:v>
      </x:c>
      <x:c r="E437" s="26" t="n">
        <x:v>27718.95</x:v>
      </x:c>
      <x:c r="F437" t="n">
        <x:v>1</x:v>
      </x:c>
      <x:c r="G437" s="25" t="n">
        <x:v>0.115626</x:v>
      </x:c>
      <x:c r="H437" t="n">
        <x:f>IF(G437&lt;$B$6,1,0)</x:f>
        <x:v>1</x:v>
      </x:c>
      <x:c r="I437" s="26" t="n">
        <x:f>H437*IF(F437=0,E437*$B$7,-E437*$B$8)</x:f>
        <x:v>-18017.3175</x:v>
      </x:c>
    </x:row>
    <x:row r="438">
      <x:c r="A438" t="n">
        <x:v>837</x:v>
      </x:c>
      <x:c r="B438" t="str">
        <x:v>2024-08</x:v>
      </x:c>
      <x:c r="C438" t="str">
        <x:v>Salaried</x:v>
      </x:c>
      <x:c r="D438" t="str">
        <x:v>Group B</x:v>
      </x:c>
      <x:c r="E438" s="26" t="n">
        <x:v>20234.02</x:v>
      </x:c>
      <x:c r="F438" t="n">
        <x:v>0</x:v>
      </x:c>
      <x:c r="G438" s="25" t="n">
        <x:v>0.029279</x:v>
      </x:c>
      <x:c r="H438" t="n">
        <x:f>IF(G438&lt;$B$6,1,0)</x:f>
        <x:v>1</x:v>
      </x:c>
      <x:c r="I438" s="26" t="n">
        <x:f>H438*IF(F438=0,E438*$B$7,-E438*$B$8)</x:f>
        <x:v>2428.0824</x:v>
      </x:c>
    </x:row>
    <x:row r="439">
      <x:c r="A439" t="n">
        <x:v>880</x:v>
      </x:c>
      <x:c r="B439" t="str">
        <x:v>2024-08</x:v>
      </x:c>
      <x:c r="C439" t="str">
        <x:v>Self employed</x:v>
      </x:c>
      <x:c r="D439" t="str">
        <x:v>Group A</x:v>
      </x:c>
      <x:c r="E439" s="26" t="n">
        <x:v>18525.57</x:v>
      </x:c>
      <x:c r="F439" t="n">
        <x:v>0</x:v>
      </x:c>
      <x:c r="G439" s="25" t="n">
        <x:v>0.135237</x:v>
      </x:c>
      <x:c r="H439" t="n">
        <x:f>IF(G439&lt;$B$6,1,0)</x:f>
        <x:v>1</x:v>
      </x:c>
      <x:c r="I439" s="26" t="n">
        <x:f>H439*IF(F439=0,E439*$B$7,-E439*$B$8)</x:f>
        <x:v>2223.0683999999997</x:v>
      </x:c>
    </x:row>
    <x:row r="440">
      <x:c r="A440" t="n">
        <x:v>891</x:v>
      </x:c>
      <x:c r="B440" t="str">
        <x:v>2024-08</x:v>
      </x:c>
      <x:c r="C440" t="str">
        <x:v>Salaried</x:v>
      </x:c>
      <x:c r="D440" t="str">
        <x:v>Group A</x:v>
      </x:c>
      <x:c r="E440" s="26" t="n">
        <x:v>18048.56</x:v>
      </x:c>
      <x:c r="F440" t="n">
        <x:v>1</x:v>
      </x:c>
      <x:c r="G440" s="25" t="n">
        <x:v>0.184227</x:v>
      </x:c>
      <x:c r="H440" t="n">
        <x:f>IF(G440&lt;$B$6,1,0)</x:f>
        <x:v>0</x:v>
      </x:c>
      <x:c r="I440" s="26" t="n">
        <x:f>H440*IF(F440=0,E440*$B$7,-E440*$B$8)</x:f>
        <x:v>0</x:v>
      </x:c>
    </x:row>
    <x:row r="441">
      <x:c r="A441" t="n">
        <x:v>909</x:v>
      </x:c>
      <x:c r="B441" t="str">
        <x:v>2024-08</x:v>
      </x:c>
      <x:c r="C441" t="str">
        <x:v>Self employed</x:v>
      </x:c>
      <x:c r="D441" t="str">
        <x:v>Group A</x:v>
      </x:c>
      <x:c r="E441" s="26" t="n">
        <x:v>7499.49</x:v>
      </x:c>
      <x:c r="F441" t="n">
        <x:v>0</x:v>
      </x:c>
      <x:c r="G441" s="25" t="n">
        <x:v>0.1407</x:v>
      </x:c>
      <x:c r="H441" t="n">
        <x:f>IF(G441&lt;$B$6,1,0)</x:f>
        <x:v>1</x:v>
      </x:c>
      <x:c r="I441" s="26" t="n">
        <x:f>H441*IF(F441=0,E441*$B$7,-E441*$B$8)</x:f>
        <x:v>899.9387999999999</x:v>
      </x:c>
    </x:row>
    <x:row r="442">
      <x:c r="A442" t="n">
        <x:v>953</x:v>
      </x:c>
      <x:c r="B442" t="str">
        <x:v>2024-08</x:v>
      </x:c>
      <x:c r="C442" t="str">
        <x:v>Salaried</x:v>
      </x:c>
      <x:c r="D442" t="str">
        <x:v>Group B</x:v>
      </x:c>
      <x:c r="E442" s="26" t="n">
        <x:v>11505.36</x:v>
      </x:c>
      <x:c r="F442" t="n">
        <x:v>1</x:v>
      </x:c>
      <x:c r="G442" s="25" t="n">
        <x:v>0.050394</x:v>
      </x:c>
      <x:c r="H442" t="n">
        <x:f>IF(G442&lt;$B$6,1,0)</x:f>
        <x:v>1</x:v>
      </x:c>
      <x:c r="I442" s="26" t="n">
        <x:f>H442*IF(F442=0,E442*$B$7,-E442*$B$8)</x:f>
        <x:v>-7478.484</x:v>
      </x:c>
    </x:row>
    <x:row r="443">
      <x:c r="A443" t="n">
        <x:v>956</x:v>
      </x:c>
      <x:c r="B443" t="str">
        <x:v>2024-08</x:v>
      </x:c>
      <x:c r="C443" t="str">
        <x:v>Salaried</x:v>
      </x:c>
      <x:c r="D443" t="str">
        <x:v>Group B</x:v>
      </x:c>
      <x:c r="E443" s="26" t="n">
        <x:v>11124.74</x:v>
      </x:c>
      <x:c r="F443" t="n">
        <x:v>1</x:v>
      </x:c>
      <x:c r="G443" s="25" t="n">
        <x:v>0.162356</x:v>
      </x:c>
      <x:c r="H443" t="n">
        <x:f>IF(G443&lt;$B$6,1,0)</x:f>
        <x:v>0</x:v>
      </x:c>
      <x:c r="I443" s="26" t="n">
        <x:f>H443*IF(F443=0,E443*$B$7,-E443*$B$8)</x:f>
        <x:v>0</x:v>
      </x:c>
    </x:row>
    <x:row r="444">
      <x:c r="A444" t="n">
        <x:v>958</x:v>
      </x:c>
      <x:c r="B444" t="str">
        <x:v>2024-08</x:v>
      </x:c>
      <x:c r="C444" t="str">
        <x:v>Self employed</x:v>
      </x:c>
      <x:c r="D444" t="str">
        <x:v>Group B</x:v>
      </x:c>
      <x:c r="E444" s="26" t="n">
        <x:v>15824.98</x:v>
      </x:c>
      <x:c r="F444" t="n">
        <x:v>0</x:v>
      </x:c>
      <x:c r="G444" s="25" t="n">
        <x:v>0.036259</x:v>
      </x:c>
      <x:c r="H444" t="n">
        <x:f>IF(G444&lt;$B$6,1,0)</x:f>
        <x:v>1</x:v>
      </x:c>
      <x:c r="I444" s="26" t="n">
        <x:f>H444*IF(F444=0,E444*$B$7,-E444*$B$8)</x:f>
        <x:v>1898.9976</x:v>
      </x:c>
    </x:row>
    <x:row r="445">
      <x:c r="A445" t="n">
        <x:v>965</x:v>
      </x:c>
      <x:c r="B445" t="str">
        <x:v>2024-08</x:v>
      </x:c>
      <x:c r="C445" t="str">
        <x:v>Salaried</x:v>
      </x:c>
      <x:c r="D445" t="str">
        <x:v>Group B</x:v>
      </x:c>
      <x:c r="E445" s="26" t="n">
        <x:v>31265.09</x:v>
      </x:c>
      <x:c r="F445" t="n">
        <x:v>0</x:v>
      </x:c>
      <x:c r="G445" s="25" t="n">
        <x:v>0.168395</x:v>
      </x:c>
      <x:c r="H445" t="n">
        <x:f>IF(G445&lt;$B$6,1,0)</x:f>
        <x:v>0</x:v>
      </x:c>
      <x:c r="I445" s="26" t="n">
        <x:f>H445*IF(F445=0,E445*$B$7,-E445*$B$8)</x:f>
        <x:v>0</x:v>
      </x:c>
    </x:row>
    <x:row r="446">
      <x:c r="A446" t="n">
        <x:v>1016</x:v>
      </x:c>
      <x:c r="B446" t="str">
        <x:v>2024-08</x:v>
      </x:c>
      <x:c r="C446" t="str">
        <x:v>Salaried</x:v>
      </x:c>
      <x:c r="D446" t="str">
        <x:v>Group A</x:v>
      </x:c>
      <x:c r="E446" s="26" t="n">
        <x:v>11752.29</x:v>
      </x:c>
      <x:c r="F446" t="n">
        <x:v>0</x:v>
      </x:c>
      <x:c r="G446" s="25" t="n">
        <x:v>0.191808</x:v>
      </x:c>
      <x:c r="H446" t="n">
        <x:f>IF(G446&lt;$B$6,1,0)</x:f>
        <x:v>0</x:v>
      </x:c>
      <x:c r="I446" s="26" t="n">
        <x:f>H446*IF(F446=0,E446*$B$7,-E446*$B$8)</x:f>
        <x:v>0</x:v>
      </x:c>
    </x:row>
    <x:row r="447">
      <x:c r="A447" t="n">
        <x:v>1017</x:v>
      </x:c>
      <x:c r="B447" t="str">
        <x:v>2024-08</x:v>
      </x:c>
      <x:c r="C447" t="str">
        <x:v>Self employed</x:v>
      </x:c>
      <x:c r="D447" t="str">
        <x:v>Group A</x:v>
      </x:c>
      <x:c r="E447" s="26" t="n">
        <x:v>13599.04</x:v>
      </x:c>
      <x:c r="F447" t="n">
        <x:v>1</x:v>
      </x:c>
      <x:c r="G447" s="25" t="n">
        <x:v>0.115739</x:v>
      </x:c>
      <x:c r="H447" t="n">
        <x:f>IF(G447&lt;$B$6,1,0)</x:f>
        <x:v>1</x:v>
      </x:c>
      <x:c r="I447" s="26" t="n">
        <x:f>H447*IF(F447=0,E447*$B$7,-E447*$B$8)</x:f>
        <x:v>-8839.376</x:v>
      </x:c>
    </x:row>
    <x:row r="448">
      <x:c r="A448" t="n">
        <x:v>1036</x:v>
      </x:c>
      <x:c r="B448" t="str">
        <x:v>2024-08</x:v>
      </x:c>
      <x:c r="C448" t="str">
        <x:v>Salaried</x:v>
      </x:c>
      <x:c r="D448" t="str">
        <x:v>Group A</x:v>
      </x:c>
      <x:c r="E448" s="26" t="n">
        <x:v>34474.87</x:v>
      </x:c>
      <x:c r="F448" t="n">
        <x:v>0</x:v>
      </x:c>
      <x:c r="G448" s="25" t="n">
        <x:v>0.360672</x:v>
      </x:c>
      <x:c r="H448" t="n">
        <x:f>IF(G448&lt;$B$6,1,0)</x:f>
        <x:v>0</x:v>
      </x:c>
      <x:c r="I448" s="26" t="n">
        <x:f>H448*IF(F448=0,E448*$B$7,-E448*$B$8)</x:f>
        <x:v>0</x:v>
      </x:c>
    </x:row>
    <x:row r="449">
      <x:c r="A449" t="n">
        <x:v>1055</x:v>
      </x:c>
      <x:c r="B449" t="str">
        <x:v>2024-08</x:v>
      </x:c>
      <x:c r="C449" t="str">
        <x:v>Salaried</x:v>
      </x:c>
      <x:c r="D449" t="str">
        <x:v>Group A</x:v>
      </x:c>
      <x:c r="E449" s="26" t="n">
        <x:v>30396.33</x:v>
      </x:c>
      <x:c r="F449" t="n">
        <x:v>0</x:v>
      </x:c>
      <x:c r="G449" s="25" t="n">
        <x:v>0.080112</x:v>
      </x:c>
      <x:c r="H449" t="n">
        <x:f>IF(G449&lt;$B$6,1,0)</x:f>
        <x:v>1</x:v>
      </x:c>
      <x:c r="I449" s="26" t="n">
        <x:f>H449*IF(F449=0,E449*$B$7,-E449*$B$8)</x:f>
        <x:v>3647.5596</x:v>
      </x:c>
    </x:row>
    <x:row r="450">
      <x:c r="A450" t="n">
        <x:v>1065</x:v>
      </x:c>
      <x:c r="B450" t="str">
        <x:v>2024-08</x:v>
      </x:c>
      <x:c r="C450" t="str">
        <x:v>Salaried</x:v>
      </x:c>
      <x:c r="D450" t="str">
        <x:v>Group B</x:v>
      </x:c>
      <x:c r="E450" s="26" t="n">
        <x:v>4552.41</x:v>
      </x:c>
      <x:c r="F450" t="n">
        <x:v>0</x:v>
      </x:c>
      <x:c r="G450" s="25" t="n">
        <x:v>0.281041</x:v>
      </x:c>
      <x:c r="H450" t="n">
        <x:f>IF(G450&lt;$B$6,1,0)</x:f>
        <x:v>0</x:v>
      </x:c>
      <x:c r="I450" s="26" t="n">
        <x:f>H450*IF(F450=0,E450*$B$7,-E450*$B$8)</x:f>
        <x:v>0</x:v>
      </x:c>
    </x:row>
    <x:row r="451">
      <x:c r="A451" t="n">
        <x:v>1082</x:v>
      </x:c>
      <x:c r="B451" t="str">
        <x:v>2024-08</x:v>
      </x:c>
      <x:c r="C451" t="str">
        <x:v>Salaried</x:v>
      </x:c>
      <x:c r="D451" t="str">
        <x:v>Group B</x:v>
      </x:c>
      <x:c r="E451" s="26" t="n">
        <x:v>18299.06</x:v>
      </x:c>
      <x:c r="F451" t="n">
        <x:v>0</x:v>
      </x:c>
      <x:c r="G451" s="25" t="n">
        <x:v>0.198122</x:v>
      </x:c>
      <x:c r="H451" t="n">
        <x:f>IF(G451&lt;$B$6,1,0)</x:f>
        <x:v>0</x:v>
      </x:c>
      <x:c r="I451" s="26" t="n">
        <x:f>H451*IF(F451=0,E451*$B$7,-E451*$B$8)</x:f>
        <x:v>0</x:v>
      </x:c>
    </x:row>
    <x:row r="452">
      <x:c r="A452" t="n">
        <x:v>1088</x:v>
      </x:c>
      <x:c r="B452" t="str">
        <x:v>2024-08</x:v>
      </x:c>
      <x:c r="C452" t="str">
        <x:v>Salaried</x:v>
      </x:c>
      <x:c r="D452" t="str">
        <x:v>Group B</x:v>
      </x:c>
      <x:c r="E452" s="26" t="n">
        <x:v>6055.24</x:v>
      </x:c>
      <x:c r="F452" t="n">
        <x:v>1</x:v>
      </x:c>
      <x:c r="G452" s="25" t="n">
        <x:v>0.228099</x:v>
      </x:c>
      <x:c r="H452" t="n">
        <x:f>IF(G452&lt;$B$6,1,0)</x:f>
        <x:v>0</x:v>
      </x:c>
      <x:c r="I452" s="26" t="n">
        <x:f>H452*IF(F452=0,E452*$B$7,-E452*$B$8)</x:f>
        <x:v>0</x:v>
      </x:c>
    </x:row>
    <x:row r="453">
      <x:c r="A453" t="n">
        <x:v>1110</x:v>
      </x:c>
      <x:c r="B453" t="str">
        <x:v>2024-08</x:v>
      </x:c>
      <x:c r="C453" t="str">
        <x:v>Salaried</x:v>
      </x:c>
      <x:c r="D453" t="str">
        <x:v>Group B</x:v>
      </x:c>
      <x:c r="E453" s="26" t="n">
        <x:v>16002.5</x:v>
      </x:c>
      <x:c r="F453" t="n">
        <x:v>0</x:v>
      </x:c>
      <x:c r="G453" s="25" t="n">
        <x:v>0.095455</x:v>
      </x:c>
      <x:c r="H453" t="n">
        <x:f>IF(G453&lt;$B$6,1,0)</x:f>
        <x:v>1</x:v>
      </x:c>
      <x:c r="I453" s="26" t="n">
        <x:f>H453*IF(F453=0,E453*$B$7,-E453*$B$8)</x:f>
        <x:v>1920.3</x:v>
      </x:c>
    </x:row>
    <x:row r="454">
      <x:c r="A454" t="n">
        <x:v>1134</x:v>
      </x:c>
      <x:c r="B454" t="str">
        <x:v>2024-08</x:v>
      </x:c>
      <x:c r="C454" t="str">
        <x:v>Self employed</x:v>
      </x:c>
      <x:c r="D454" t="str">
        <x:v>Group A</x:v>
      </x:c>
      <x:c r="E454" s="26" t="n">
        <x:v>37145.76</x:v>
      </x:c>
      <x:c r="F454" t="n">
        <x:v>0</x:v>
      </x:c>
      <x:c r="G454" s="25" t="n">
        <x:v>0.080424</x:v>
      </x:c>
      <x:c r="H454" t="n">
        <x:f>IF(G454&lt;$B$6,1,0)</x:f>
        <x:v>1</x:v>
      </x:c>
      <x:c r="I454" s="26" t="n">
        <x:f>H454*IF(F454=0,E454*$B$7,-E454*$B$8)</x:f>
        <x:v>4457.4912</x:v>
      </x:c>
    </x:row>
    <x:row r="455">
      <x:c r="A455" t="n">
        <x:v>1136</x:v>
      </x:c>
      <x:c r="B455" t="str">
        <x:v>2024-08</x:v>
      </x:c>
      <x:c r="C455" t="str">
        <x:v>Self employed</x:v>
      </x:c>
      <x:c r="D455" t="str">
        <x:v>Group A</x:v>
      </x:c>
      <x:c r="E455" s="26" t="n">
        <x:v>15175.47</x:v>
      </x:c>
      <x:c r="F455" t="n">
        <x:v>0</x:v>
      </x:c>
      <x:c r="G455" s="25" t="n">
        <x:v>0.542623</x:v>
      </x:c>
      <x:c r="H455" t="n">
        <x:f>IF(G455&lt;$B$6,1,0)</x:f>
        <x:v>0</x:v>
      </x:c>
      <x:c r="I455" s="26" t="n">
        <x:f>H455*IF(F455=0,E455*$B$7,-E455*$B$8)</x:f>
        <x:v>0</x:v>
      </x:c>
    </x:row>
    <x:row r="456">
      <x:c r="A456" t="n">
        <x:v>1193</x:v>
      </x:c>
      <x:c r="B456" t="str">
        <x:v>2024-08</x:v>
      </x:c>
      <x:c r="C456" t="str">
        <x:v>Contract</x:v>
      </x:c>
      <x:c r="D456" t="str">
        <x:v>Group A</x:v>
      </x:c>
      <x:c r="E456" s="26" t="n">
        <x:v>32482.16</x:v>
      </x:c>
      <x:c r="F456" t="n">
        <x:v>0</x:v>
      </x:c>
      <x:c r="G456" s="25" t="n">
        <x:v>0.593814</x:v>
      </x:c>
      <x:c r="H456" t="n">
        <x:f>IF(G456&lt;$B$6,1,0)</x:f>
        <x:v>0</x:v>
      </x:c>
      <x:c r="I456" s="26" t="n">
        <x:f>H456*IF(F456=0,E456*$B$7,-E456*$B$8)</x:f>
        <x:v>0</x:v>
      </x:c>
    </x:row>
    <x:row r="457">
      <x:c r="A457" t="n">
        <x:v>1246</x:v>
      </x:c>
      <x:c r="B457" t="str">
        <x:v>2024-08</x:v>
      </x:c>
      <x:c r="C457" t="str">
        <x:v>Salaried</x:v>
      </x:c>
      <x:c r="D457" t="str">
        <x:v>Group B</x:v>
      </x:c>
      <x:c r="E457" s="26" t="n">
        <x:v>18106.79</x:v>
      </x:c>
      <x:c r="F457" t="n">
        <x:v>0</x:v>
      </x:c>
      <x:c r="G457" s="25" t="n">
        <x:v>0.042875</x:v>
      </x:c>
      <x:c r="H457" t="n">
        <x:f>IF(G457&lt;$B$6,1,0)</x:f>
        <x:v>1</x:v>
      </x:c>
      <x:c r="I457" s="26" t="n">
        <x:f>H457*IF(F457=0,E457*$B$7,-E457*$B$8)</x:f>
        <x:v>2172.8148</x:v>
      </x:c>
    </x:row>
    <x:row r="458">
      <x:c r="A458" t="n">
        <x:v>1259</x:v>
      </x:c>
      <x:c r="B458" t="str">
        <x:v>2024-08</x:v>
      </x:c>
      <x:c r="C458" t="str">
        <x:v>Salaried</x:v>
      </x:c>
      <x:c r="D458" t="str">
        <x:v>Group A</x:v>
      </x:c>
      <x:c r="E458" s="26" t="n">
        <x:v>2565.15</x:v>
      </x:c>
      <x:c r="F458" t="n">
        <x:v>0</x:v>
      </x:c>
      <x:c r="G458" s="25" t="n">
        <x:v>0.077734</x:v>
      </x:c>
      <x:c r="H458" t="n">
        <x:f>IF(G458&lt;$B$6,1,0)</x:f>
        <x:v>1</x:v>
      </x:c>
      <x:c r="I458" s="26" t="n">
        <x:f>H458*IF(F458=0,E458*$B$7,-E458*$B$8)</x:f>
        <x:v>307.818</x:v>
      </x:c>
    </x:row>
    <x:row r="459">
      <x:c r="A459" t="n">
        <x:v>1334</x:v>
      </x:c>
      <x:c r="B459" t="str">
        <x:v>2024-08</x:v>
      </x:c>
      <x:c r="C459" t="str">
        <x:v>Self employed</x:v>
      </x:c>
      <x:c r="D459" t="str">
        <x:v>Group A</x:v>
      </x:c>
      <x:c r="E459" s="26" t="n">
        <x:v>18683.1</x:v>
      </x:c>
      <x:c r="F459" t="n">
        <x:v>0</x:v>
      </x:c>
      <x:c r="G459" s="25" t="n">
        <x:v>0.288112</x:v>
      </x:c>
      <x:c r="H459" t="n">
        <x:f>IF(G459&lt;$B$6,1,0)</x:f>
        <x:v>0</x:v>
      </x:c>
      <x:c r="I459" s="26" t="n">
        <x:f>H459*IF(F459=0,E459*$B$7,-E459*$B$8)</x:f>
        <x:v>0</x:v>
      </x:c>
    </x:row>
    <x:row r="460">
      <x:c r="A460" t="n">
        <x:v>1368</x:v>
      </x:c>
      <x:c r="B460" t="str">
        <x:v>2024-08</x:v>
      </x:c>
      <x:c r="C460" t="str">
        <x:v>Salaried</x:v>
      </x:c>
      <x:c r="D460" t="str">
        <x:v>Group B</x:v>
      </x:c>
      <x:c r="E460" s="26" t="n">
        <x:v>14603.85</x:v>
      </x:c>
      <x:c r="F460" t="n">
        <x:v>0</x:v>
      </x:c>
      <x:c r="G460" s="25" t="n">
        <x:v>0.318273</x:v>
      </x:c>
      <x:c r="H460" t="n">
        <x:f>IF(G460&lt;$B$6,1,0)</x:f>
        <x:v>0</x:v>
      </x:c>
      <x:c r="I460" s="26" t="n">
        <x:f>H460*IF(F460=0,E460*$B$7,-E460*$B$8)</x:f>
        <x:v>0</x:v>
      </x:c>
    </x:row>
    <x:row r="461">
      <x:c r="A461" t="n">
        <x:v>1424</x:v>
      </x:c>
      <x:c r="B461" t="str">
        <x:v>2024-08</x:v>
      </x:c>
      <x:c r="C461" t="str">
        <x:v>Self employed</x:v>
      </x:c>
      <x:c r="D461" t="str">
        <x:v>Group B</x:v>
      </x:c>
      <x:c r="E461" s="26" t="n">
        <x:v>20130.59</x:v>
      </x:c>
      <x:c r="F461" t="n">
        <x:v>1</x:v>
      </x:c>
      <x:c r="G461" s="25" t="n">
        <x:v>0.338772</x:v>
      </x:c>
      <x:c r="H461" t="n">
        <x:f>IF(G461&lt;$B$6,1,0)</x:f>
        <x:v>0</x:v>
      </x:c>
      <x:c r="I461" s="26" t="n">
        <x:f>H461*IF(F461=0,E461*$B$7,-E461*$B$8)</x:f>
        <x:v>0</x:v>
      </x:c>
    </x:row>
    <x:row r="462">
      <x:c r="A462" t="n">
        <x:v>1434</x:v>
      </x:c>
      <x:c r="B462" t="str">
        <x:v>2024-08</x:v>
      </x:c>
      <x:c r="C462" t="str">
        <x:v>Salaried</x:v>
      </x:c>
      <x:c r="D462" t="str">
        <x:v>Group A</x:v>
      </x:c>
      <x:c r="E462" s="26" t="n">
        <x:v>11898.34</x:v>
      </x:c>
      <x:c r="F462" t="n">
        <x:v>0</x:v>
      </x:c>
      <x:c r="G462" s="25" t="n">
        <x:v>0.215685</x:v>
      </x:c>
      <x:c r="H462" t="n">
        <x:f>IF(G462&lt;$B$6,1,0)</x:f>
        <x:v>0</x:v>
      </x:c>
      <x:c r="I462" s="26" t="n">
        <x:f>H462*IF(F462=0,E462*$B$7,-E462*$B$8)</x:f>
        <x:v>0</x:v>
      </x:c>
    </x:row>
    <x:row r="463">
      <x:c r="A463" t="n">
        <x:v>1450</x:v>
      </x:c>
      <x:c r="B463" t="str">
        <x:v>2024-08</x:v>
      </x:c>
      <x:c r="C463" t="str">
        <x:v>Salaried</x:v>
      </x:c>
      <x:c r="D463" t="str">
        <x:v>Group B</x:v>
      </x:c>
      <x:c r="E463" s="26" t="n">
        <x:v>57176.03</x:v>
      </x:c>
      <x:c r="F463" t="n">
        <x:v>1</x:v>
      </x:c>
      <x:c r="G463" s="25" t="n">
        <x:v>0.715546</x:v>
      </x:c>
      <x:c r="H463" t="n">
        <x:f>IF(G463&lt;$B$6,1,0)</x:f>
        <x:v>0</x:v>
      </x:c>
      <x:c r="I463" s="26" t="n">
        <x:f>H463*IF(F463=0,E463*$B$7,-E463*$B$8)</x:f>
        <x:v>0</x:v>
      </x:c>
    </x:row>
    <x:row r="464">
      <x:c r="A464" t="n">
        <x:v>1546</x:v>
      </x:c>
      <x:c r="B464" t="str">
        <x:v>2024-08</x:v>
      </x:c>
      <x:c r="C464" t="str">
        <x:v>Salaried</x:v>
      </x:c>
      <x:c r="D464" t="str">
        <x:v>Group A</x:v>
      </x:c>
      <x:c r="E464" s="26" t="n">
        <x:v>13352.77</x:v>
      </x:c>
      <x:c r="F464" t="n">
        <x:v>0</x:v>
      </x:c>
      <x:c r="G464" s="25" t="n">
        <x:v>0.449126</x:v>
      </x:c>
      <x:c r="H464" t="n">
        <x:f>IF(G464&lt;$B$6,1,0)</x:f>
        <x:v>0</x:v>
      </x:c>
      <x:c r="I464" s="26" t="n">
        <x:f>H464*IF(F464=0,E464*$B$7,-E464*$B$8)</x:f>
        <x:v>0</x:v>
      </x:c>
    </x:row>
    <x:row r="465">
      <x:c r="A465" t="n">
        <x:v>1562</x:v>
      </x:c>
      <x:c r="B465" t="str">
        <x:v>2024-08</x:v>
      </x:c>
      <x:c r="C465" t="str">
        <x:v>Salaried</x:v>
      </x:c>
      <x:c r="D465" t="str">
        <x:v>Group B</x:v>
      </x:c>
      <x:c r="E465" s="26" t="n">
        <x:v>12208.05</x:v>
      </x:c>
      <x:c r="F465" t="n">
        <x:v>0</x:v>
      </x:c>
      <x:c r="G465" s="25" t="n">
        <x:v>0.07774</x:v>
      </x:c>
      <x:c r="H465" t="n">
        <x:f>IF(G465&lt;$B$6,1,0)</x:f>
        <x:v>1</x:v>
      </x:c>
      <x:c r="I465" s="26" t="n">
        <x:f>H465*IF(F465=0,E465*$B$7,-E465*$B$8)</x:f>
        <x:v>1464.966</x:v>
      </x:c>
    </x:row>
    <x:row r="466">
      <x:c r="A466" t="n">
        <x:v>1636</x:v>
      </x:c>
      <x:c r="B466" t="str">
        <x:v>2024-08</x:v>
      </x:c>
      <x:c r="C466" t="str">
        <x:v>Salaried</x:v>
      </x:c>
      <x:c r="D466" t="str">
        <x:v>Group B</x:v>
      </x:c>
      <x:c r="E466" s="26" t="n">
        <x:v>10900.81</x:v>
      </x:c>
      <x:c r="F466" t="n">
        <x:v>0</x:v>
      </x:c>
      <x:c r="G466" s="25" t="n">
        <x:v>0.234686</x:v>
      </x:c>
      <x:c r="H466" t="n">
        <x:f>IF(G466&lt;$B$6,1,0)</x:f>
        <x:v>0</x:v>
      </x:c>
      <x:c r="I466" s="26" t="n">
        <x:f>H466*IF(F466=0,E466*$B$7,-E466*$B$8)</x:f>
        <x:v>0</x:v>
      </x:c>
    </x:row>
    <x:row r="467">
      <x:c r="A467" t="n">
        <x:v>1644</x:v>
      </x:c>
      <x:c r="B467" t="str">
        <x:v>2024-08</x:v>
      </x:c>
      <x:c r="C467" t="str">
        <x:v>Salaried</x:v>
      </x:c>
      <x:c r="D467" t="str">
        <x:v>Group A</x:v>
      </x:c>
      <x:c r="E467" s="26" t="n">
        <x:v>9151.56</x:v>
      </x:c>
      <x:c r="F467" t="n">
        <x:v>0</x:v>
      </x:c>
      <x:c r="G467" s="25" t="n">
        <x:v>0.129767</x:v>
      </x:c>
      <x:c r="H467" t="n">
        <x:f>IF(G467&lt;$B$6,1,0)</x:f>
        <x:v>1</x:v>
      </x:c>
      <x:c r="I467" s="26" t="n">
        <x:f>H467*IF(F467=0,E467*$B$7,-E467*$B$8)</x:f>
        <x:v>1098.1871999999998</x:v>
      </x:c>
    </x:row>
    <x:row r="468">
      <x:c r="A468" t="n">
        <x:v>1654</x:v>
      </x:c>
      <x:c r="B468" t="str">
        <x:v>2024-08</x:v>
      </x:c>
      <x:c r="C468" t="str">
        <x:v>Contract</x:v>
      </x:c>
      <x:c r="D468" t="str">
        <x:v>Group B</x:v>
      </x:c>
      <x:c r="E468" s="26" t="n">
        <x:v>27155.23</x:v>
      </x:c>
      <x:c r="F468" t="n">
        <x:v>0</x:v>
      </x:c>
      <x:c r="G468" s="25" t="n">
        <x:v>0.267101</x:v>
      </x:c>
      <x:c r="H468" t="n">
        <x:f>IF(G468&lt;$B$6,1,0)</x:f>
        <x:v>0</x:v>
      </x:c>
      <x:c r="I468" s="26" t="n">
        <x:f>H468*IF(F468=0,E468*$B$7,-E468*$B$8)</x:f>
        <x:v>0</x:v>
      </x:c>
    </x:row>
    <x:row r="469">
      <x:c r="A469" t="n">
        <x:v>1677</x:v>
      </x:c>
      <x:c r="B469" t="str">
        <x:v>2024-08</x:v>
      </x:c>
      <x:c r="C469" t="str">
        <x:v>Self employed</x:v>
      </x:c>
      <x:c r="D469" t="str">
        <x:v>Group B</x:v>
      </x:c>
      <x:c r="E469" s="26" t="n">
        <x:v>9138.34</x:v>
      </x:c>
      <x:c r="F469" t="n">
        <x:v>0</x:v>
      </x:c>
      <x:c r="G469" s="25" t="n">
        <x:v>0.239989</x:v>
      </x:c>
      <x:c r="H469" t="n">
        <x:f>IF(G469&lt;$B$6,1,0)</x:f>
        <x:v>0</x:v>
      </x:c>
      <x:c r="I469" s="26" t="n">
        <x:f>H469*IF(F469=0,E469*$B$7,-E469*$B$8)</x:f>
        <x:v>0</x:v>
      </x:c>
    </x:row>
    <x:row r="470">
      <x:c r="A470" t="n">
        <x:v>1685</x:v>
      </x:c>
      <x:c r="B470" t="str">
        <x:v>2024-08</x:v>
      </x:c>
      <x:c r="C470" t="str">
        <x:v>Salaried</x:v>
      </x:c>
      <x:c r="D470" t="str">
        <x:v>Group B</x:v>
      </x:c>
      <x:c r="E470" s="26" t="n">
        <x:v>21207.66</x:v>
      </x:c>
      <x:c r="F470" t="n">
        <x:v>0</x:v>
      </x:c>
      <x:c r="G470" s="25" t="n">
        <x:v>0.350345</x:v>
      </x:c>
      <x:c r="H470" t="n">
        <x:f>IF(G470&lt;$B$6,1,0)</x:f>
        <x:v>0</x:v>
      </x:c>
      <x:c r="I470" s="26" t="n">
        <x:f>H470*IF(F470=0,E470*$B$7,-E470*$B$8)</x:f>
        <x:v>0</x:v>
      </x:c>
    </x:row>
    <x:row r="471">
      <x:c r="A471" t="n">
        <x:v>1697</x:v>
      </x:c>
      <x:c r="B471" t="str">
        <x:v>2024-08</x:v>
      </x:c>
      <x:c r="C471" t="str">
        <x:v>Salaried</x:v>
      </x:c>
      <x:c r="D471" t="str">
        <x:v>Group A</x:v>
      </x:c>
      <x:c r="E471" s="26" t="n">
        <x:v>56711.57</x:v>
      </x:c>
      <x:c r="F471" t="n">
        <x:v>1</x:v>
      </x:c>
      <x:c r="G471" s="25" t="n">
        <x:v>0.189238</x:v>
      </x:c>
      <x:c r="H471" t="n">
        <x:f>IF(G471&lt;$B$6,1,0)</x:f>
        <x:v>0</x:v>
      </x:c>
      <x:c r="I471" s="26" t="n">
        <x:f>H471*IF(F471=0,E471*$B$7,-E471*$B$8)</x:f>
        <x:v>0</x:v>
      </x:c>
    </x:row>
    <x:row r="472">
      <x:c r="A472" t="n">
        <x:v>1727</x:v>
      </x:c>
      <x:c r="B472" t="str">
        <x:v>2024-08</x:v>
      </x:c>
      <x:c r="C472" t="str">
        <x:v>Self employed</x:v>
      </x:c>
      <x:c r="D472" t="str">
        <x:v>Group A</x:v>
      </x:c>
      <x:c r="E472" s="26" t="n">
        <x:v>20240.91</x:v>
      </x:c>
      <x:c r="F472" t="n">
        <x:v>1</x:v>
      </x:c>
      <x:c r="G472" s="25" t="n">
        <x:v>0.20109</x:v>
      </x:c>
      <x:c r="H472" t="n">
        <x:f>IF(G472&lt;$B$6,1,0)</x:f>
        <x:v>0</x:v>
      </x:c>
      <x:c r="I472" s="26" t="n">
        <x:f>H472*IF(F472=0,E472*$B$7,-E472*$B$8)</x:f>
        <x:v>0</x:v>
      </x:c>
    </x:row>
    <x:row r="473">
      <x:c r="A473" t="n">
        <x:v>1737</x:v>
      </x:c>
      <x:c r="B473" t="str">
        <x:v>2024-08</x:v>
      </x:c>
      <x:c r="C473" t="str">
        <x:v>Salaried</x:v>
      </x:c>
      <x:c r="D473" t="str">
        <x:v>Group A</x:v>
      </x:c>
      <x:c r="E473" s="26" t="n">
        <x:v>3130.04</x:v>
      </x:c>
      <x:c r="F473" t="n">
        <x:v>0</x:v>
      </x:c>
      <x:c r="G473" s="25" t="n">
        <x:v>0.081236</x:v>
      </x:c>
      <x:c r="H473" t="n">
        <x:f>IF(G473&lt;$B$6,1,0)</x:f>
        <x:v>1</x:v>
      </x:c>
      <x:c r="I473" s="26" t="n">
        <x:f>H473*IF(F473=0,E473*$B$7,-E473*$B$8)</x:f>
        <x:v>375.60479999999995</x:v>
      </x:c>
    </x:row>
    <x:row r="474">
      <x:c r="A474" t="n">
        <x:v>1776</x:v>
      </x:c>
      <x:c r="B474" t="str">
        <x:v>2024-08</x:v>
      </x:c>
      <x:c r="C474" t="str">
        <x:v>Salaried</x:v>
      </x:c>
      <x:c r="D474" t="str">
        <x:v>Group A</x:v>
      </x:c>
      <x:c r="E474" s="26" t="n">
        <x:v>7261.58</x:v>
      </x:c>
      <x:c r="F474" t="n">
        <x:v>1</x:v>
      </x:c>
      <x:c r="G474" s="25" t="n">
        <x:v>0.466933</x:v>
      </x:c>
      <x:c r="H474" t="n">
        <x:f>IF(G474&lt;$B$6,1,0)</x:f>
        <x:v>0</x:v>
      </x:c>
      <x:c r="I474" s="26" t="n">
        <x:f>H474*IF(F474=0,E474*$B$7,-E474*$B$8)</x:f>
        <x:v>0</x:v>
      </x:c>
    </x:row>
    <x:row r="475">
      <x:c r="A475" t="n">
        <x:v>1778</x:v>
      </x:c>
      <x:c r="B475" t="str">
        <x:v>2024-08</x:v>
      </x:c>
      <x:c r="C475" t="str">
        <x:v>Salaried</x:v>
      </x:c>
      <x:c r="D475" t="str">
        <x:v>Group B</x:v>
      </x:c>
      <x:c r="E475" s="26" t="n">
        <x:v>12103.24</x:v>
      </x:c>
      <x:c r="F475" t="n">
        <x:v>0</x:v>
      </x:c>
      <x:c r="G475" s="25" t="n">
        <x:v>0.053559</x:v>
      </x:c>
      <x:c r="H475" t="n">
        <x:f>IF(G475&lt;$B$6,1,0)</x:f>
        <x:v>1</x:v>
      </x:c>
      <x:c r="I475" s="26" t="n">
        <x:f>H475*IF(F475=0,E475*$B$7,-E475*$B$8)</x:f>
        <x:v>1452.3888</x:v>
      </x:c>
    </x:row>
    <x:row r="476">
      <x:c r="A476" t="n">
        <x:v>1789</x:v>
      </x:c>
      <x:c r="B476" t="str">
        <x:v>2024-08</x:v>
      </x:c>
      <x:c r="C476" t="str">
        <x:v>Contract</x:v>
      </x:c>
      <x:c r="D476" t="str">
        <x:v>Group B</x:v>
      </x:c>
      <x:c r="E476" s="26" t="n">
        <x:v>18080.93</x:v>
      </x:c>
      <x:c r="F476" t="n">
        <x:v>1</x:v>
      </x:c>
      <x:c r="G476" s="25" t="n">
        <x:v>0.196338</x:v>
      </x:c>
      <x:c r="H476" t="n">
        <x:f>IF(G476&lt;$B$6,1,0)</x:f>
        <x:v>0</x:v>
      </x:c>
      <x:c r="I476" s="26" t="n">
        <x:f>H476*IF(F476=0,E476*$B$7,-E476*$B$8)</x:f>
        <x:v>0</x:v>
      </x:c>
    </x:row>
    <x:row r="477">
      <x:c r="A477" t="n">
        <x:v>1790</x:v>
      </x:c>
      <x:c r="B477" t="str">
        <x:v>2024-08</x:v>
      </x:c>
      <x:c r="C477" t="str">
        <x:v>Salaried</x:v>
      </x:c>
      <x:c r="D477" t="str">
        <x:v>Group A</x:v>
      </x:c>
      <x:c r="E477" s="26" t="n">
        <x:v>14701.96</x:v>
      </x:c>
      <x:c r="F477" t="n">
        <x:v>0</x:v>
      </x:c>
      <x:c r="G477" s="25" t="n">
        <x:v>0.083567</x:v>
      </x:c>
      <x:c r="H477" t="n">
        <x:f>IF(G477&lt;$B$6,1,0)</x:f>
        <x:v>1</x:v>
      </x:c>
      <x:c r="I477" s="26" t="n">
        <x:f>H477*IF(F477=0,E477*$B$7,-E477*$B$8)</x:f>
        <x:v>1764.2351999999998</x:v>
      </x:c>
    </x:row>
    <x:row r="478">
      <x:c r="A478" t="n">
        <x:v>1792</x:v>
      </x:c>
      <x:c r="B478" t="str">
        <x:v>2024-08</x:v>
      </x:c>
      <x:c r="C478" t="str">
        <x:v>Salaried</x:v>
      </x:c>
      <x:c r="D478" t="str">
        <x:v>Group B</x:v>
      </x:c>
      <x:c r="E478" s="26" t="n">
        <x:v>8438.27</x:v>
      </x:c>
      <x:c r="F478" t="n">
        <x:v>0</x:v>
      </x:c>
      <x:c r="G478" s="25" t="n">
        <x:v>0.261931</x:v>
      </x:c>
      <x:c r="H478" t="n">
        <x:f>IF(G478&lt;$B$6,1,0)</x:f>
        <x:v>0</x:v>
      </x:c>
      <x:c r="I478" s="26" t="n">
        <x:f>H478*IF(F478=0,E478*$B$7,-E478*$B$8)</x:f>
        <x:v>0</x:v>
      </x:c>
    </x:row>
    <x:row r="479">
      <x:c r="A479" t="n">
        <x:v>1830</x:v>
      </x:c>
      <x:c r="B479" t="str">
        <x:v>2024-08</x:v>
      </x:c>
      <x:c r="C479" t="str">
        <x:v>Salaried</x:v>
      </x:c>
      <x:c r="D479" t="str">
        <x:v>Group B</x:v>
      </x:c>
      <x:c r="E479" s="26" t="n">
        <x:v>2909.06</x:v>
      </x:c>
      <x:c r="F479" t="n">
        <x:v>0</x:v>
      </x:c>
      <x:c r="G479" s="25" t="n">
        <x:v>0.035602</x:v>
      </x:c>
      <x:c r="H479" t="n">
        <x:f>IF(G479&lt;$B$6,1,0)</x:f>
        <x:v>1</x:v>
      </x:c>
      <x:c r="I479" s="26" t="n">
        <x:f>H479*IF(F479=0,E479*$B$7,-E479*$B$8)</x:f>
        <x:v>349.0872</x:v>
      </x:c>
    </x:row>
    <x:row r="480">
      <x:c r="A480" t="n">
        <x:v>1840</x:v>
      </x:c>
      <x:c r="B480" t="str">
        <x:v>2024-08</x:v>
      </x:c>
      <x:c r="C480" t="str">
        <x:v>Salaried</x:v>
      </x:c>
      <x:c r="D480" t="str">
        <x:v>Group B</x:v>
      </x:c>
      <x:c r="E480" s="26" t="n">
        <x:v>17567.07</x:v>
      </x:c>
      <x:c r="F480" t="n">
        <x:v>0</x:v>
      </x:c>
      <x:c r="G480" s="25" t="n">
        <x:v>0.167873</x:v>
      </x:c>
      <x:c r="H480" t="n">
        <x:f>IF(G480&lt;$B$6,1,0)</x:f>
        <x:v>0</x:v>
      </x:c>
      <x:c r="I480" s="26" t="n">
        <x:f>H480*IF(F480=0,E480*$B$7,-E480*$B$8)</x:f>
        <x:v>0</x:v>
      </x:c>
    </x:row>
    <x:row r="481">
      <x:c r="A481" t="n">
        <x:v>1847</x:v>
      </x:c>
      <x:c r="B481" t="str">
        <x:v>2024-08</x:v>
      </x:c>
      <x:c r="C481" t="str">
        <x:v>Self employed</x:v>
      </x:c>
      <x:c r="D481" t="str">
        <x:v>Group A</x:v>
      </x:c>
      <x:c r="E481" s="26" t="n">
        <x:v>13022.19</x:v>
      </x:c>
      <x:c r="F481" t="n">
        <x:v>0</x:v>
      </x:c>
      <x:c r="G481" s="25" t="n">
        <x:v>0.155059</x:v>
      </x:c>
      <x:c r="H481" t="n">
        <x:f>IF(G481&lt;$B$6,1,0)</x:f>
        <x:v>1</x:v>
      </x:c>
      <x:c r="I481" s="26" t="n">
        <x:f>H481*IF(F481=0,E481*$B$7,-E481*$B$8)</x:f>
        <x:v>1562.6628</x:v>
      </x:c>
    </x:row>
    <x:row r="482">
      <x:c r="A482" t="n">
        <x:v>1856</x:v>
      </x:c>
      <x:c r="B482" t="str">
        <x:v>2024-08</x:v>
      </x:c>
      <x:c r="C482" t="str">
        <x:v>Salaried</x:v>
      </x:c>
      <x:c r="D482" t="str">
        <x:v>Group B</x:v>
      </x:c>
      <x:c r="E482" s="26" t="n">
        <x:v>75000</x:v>
      </x:c>
      <x:c r="F482" t="n">
        <x:v>0</x:v>
      </x:c>
      <x:c r="G482" s="25" t="n">
        <x:v>0.666697</x:v>
      </x:c>
      <x:c r="H482" t="n">
        <x:f>IF(G482&lt;$B$6,1,0)</x:f>
        <x:v>0</x:v>
      </x:c>
      <x:c r="I482" s="26" t="n">
        <x:f>H482*IF(F482=0,E482*$B$7,-E482*$B$8)</x:f>
        <x:v>0</x:v>
      </x:c>
    </x:row>
    <x:row r="483">
      <x:c r="A483" t="n">
        <x:v>1902</x:v>
      </x:c>
      <x:c r="B483" t="str">
        <x:v>2024-08</x:v>
      </x:c>
      <x:c r="C483" t="str">
        <x:v>Salaried</x:v>
      </x:c>
      <x:c r="D483" t="str">
        <x:v>Group A</x:v>
      </x:c>
      <x:c r="E483" s="26" t="n">
        <x:v>14959.2</x:v>
      </x:c>
      <x:c r="F483" t="n">
        <x:v>0</x:v>
      </x:c>
      <x:c r="G483" s="25" t="n">
        <x:v>0.255374</x:v>
      </x:c>
      <x:c r="H483" t="n">
        <x:f>IF(G483&lt;$B$6,1,0)</x:f>
        <x:v>0</x:v>
      </x:c>
      <x:c r="I483" s="26" t="n">
        <x:f>H483*IF(F483=0,E483*$B$7,-E483*$B$8)</x:f>
        <x:v>0</x:v>
      </x:c>
    </x:row>
    <x:row r="484">
      <x:c r="A484" t="n">
        <x:v>1914</x:v>
      </x:c>
      <x:c r="B484" t="str">
        <x:v>2024-08</x:v>
      </x:c>
      <x:c r="C484" t="str">
        <x:v>Self employed</x:v>
      </x:c>
      <x:c r="D484" t="str">
        <x:v>Group A</x:v>
      </x:c>
      <x:c r="E484" s="26" t="n">
        <x:v>12426.84</x:v>
      </x:c>
      <x:c r="F484" t="n">
        <x:v>0</x:v>
      </x:c>
      <x:c r="G484" s="25" t="n">
        <x:v>0.225134</x:v>
      </x:c>
      <x:c r="H484" t="n">
        <x:f>IF(G484&lt;$B$6,1,0)</x:f>
        <x:v>0</x:v>
      </x:c>
      <x:c r="I484" s="26" t="n">
        <x:f>H484*IF(F484=0,E484*$B$7,-E484*$B$8)</x:f>
        <x:v>0</x:v>
      </x:c>
    </x:row>
    <x:row r="485">
      <x:c r="A485" t="n">
        <x:v>1936</x:v>
      </x:c>
      <x:c r="B485" t="str">
        <x:v>2024-08</x:v>
      </x:c>
      <x:c r="C485" t="str">
        <x:v>Salaried</x:v>
      </x:c>
      <x:c r="D485" t="str">
        <x:v>Group A</x:v>
      </x:c>
      <x:c r="E485" s="26" t="n">
        <x:v>64763.7</x:v>
      </x:c>
      <x:c r="F485" t="n">
        <x:v>0</x:v>
      </x:c>
      <x:c r="G485" s="25" t="n">
        <x:v>0.045914</x:v>
      </x:c>
      <x:c r="H485" t="n">
        <x:f>IF(G485&lt;$B$6,1,0)</x:f>
        <x:v>1</x:v>
      </x:c>
      <x:c r="I485" s="26" t="n">
        <x:f>H485*IF(F485=0,E485*$B$7,-E485*$B$8)</x:f>
        <x:v>7771.643999999999</x:v>
      </x:c>
    </x:row>
    <x:row r="486">
      <x:c r="A486" t="n">
        <x:v>1981</x:v>
      </x:c>
      <x:c r="B486" t="str">
        <x:v>2024-08</x:v>
      </x:c>
      <x:c r="C486" t="str">
        <x:v>Salaried</x:v>
      </x:c>
      <x:c r="D486" t="str">
        <x:v>Group A</x:v>
      </x:c>
      <x:c r="E486" s="26" t="n">
        <x:v>11521</x:v>
      </x:c>
      <x:c r="F486" t="n">
        <x:v>0</x:v>
      </x:c>
      <x:c r="G486" s="25" t="n">
        <x:v>0.130987</x:v>
      </x:c>
      <x:c r="H486" t="n">
        <x:f>IF(G486&lt;$B$6,1,0)</x:f>
        <x:v>1</x:v>
      </x:c>
      <x:c r="I486" s="26" t="n">
        <x:f>H486*IF(F486=0,E486*$B$7,-E486*$B$8)</x:f>
        <x:v>1382.52</x:v>
      </x:c>
    </x:row>
    <x:row r="487">
      <x:c r="A487" t="n">
        <x:v>2028</x:v>
      </x:c>
      <x:c r="B487" t="str">
        <x:v>2024-08</x:v>
      </x:c>
      <x:c r="C487" t="str">
        <x:v>Salaried</x:v>
      </x:c>
      <x:c r="D487" t="str">
        <x:v>Group A</x:v>
      </x:c>
      <x:c r="E487" s="26" t="n">
        <x:v>16806.69</x:v>
      </x:c>
      <x:c r="F487" t="n">
        <x:v>0</x:v>
      </x:c>
      <x:c r="G487" s="25" t="n">
        <x:v>0.038649</x:v>
      </x:c>
      <x:c r="H487" t="n">
        <x:f>IF(G487&lt;$B$6,1,0)</x:f>
        <x:v>1</x:v>
      </x:c>
      <x:c r="I487" s="26" t="n">
        <x:f>H487*IF(F487=0,E487*$B$7,-E487*$B$8)</x:f>
        <x:v>2016.8027999999997</x:v>
      </x:c>
    </x:row>
    <x:row r="488">
      <x:c r="A488" t="n">
        <x:v>2048</x:v>
      </x:c>
      <x:c r="B488" t="str">
        <x:v>2024-08</x:v>
      </x:c>
      <x:c r="C488" t="str">
        <x:v>Self employed</x:v>
      </x:c>
      <x:c r="D488" t="str">
        <x:v>Group B</x:v>
      </x:c>
      <x:c r="E488" s="26" t="n">
        <x:v>12010.14</x:v>
      </x:c>
      <x:c r="F488" t="n">
        <x:v>1</x:v>
      </x:c>
      <x:c r="G488" s="25" t="n">
        <x:v>0.182842</x:v>
      </x:c>
      <x:c r="H488" t="n">
        <x:f>IF(G488&lt;$B$6,1,0)</x:f>
        <x:v>0</x:v>
      </x:c>
      <x:c r="I488" s="26" t="n">
        <x:f>H488*IF(F488=0,E488*$B$7,-E488*$B$8)</x:f>
        <x:v>0</x:v>
      </x:c>
    </x:row>
    <x:row r="489">
      <x:c r="A489" t="n">
        <x:v>2070</x:v>
      </x:c>
      <x:c r="B489" t="str">
        <x:v>2024-08</x:v>
      </x:c>
      <x:c r="C489" t="str">
        <x:v>Salaried</x:v>
      </x:c>
      <x:c r="D489" t="str">
        <x:v>Group A</x:v>
      </x:c>
      <x:c r="E489" s="26" t="n">
        <x:v>44775.85</x:v>
      </x:c>
      <x:c r="F489" t="n">
        <x:v>0</x:v>
      </x:c>
      <x:c r="G489" s="25" t="n">
        <x:v>0.103154</x:v>
      </x:c>
      <x:c r="H489" t="n">
        <x:f>IF(G489&lt;$B$6,1,0)</x:f>
        <x:v>1</x:v>
      </x:c>
      <x:c r="I489" s="26" t="n">
        <x:f>H489*IF(F489=0,E489*$B$7,-E489*$B$8)</x:f>
        <x:v>5373.102</x:v>
      </x:c>
    </x:row>
    <x:row r="490">
      <x:c r="A490" t="n">
        <x:v>2080</x:v>
      </x:c>
      <x:c r="B490" t="str">
        <x:v>2024-08</x:v>
      </x:c>
      <x:c r="C490" t="str">
        <x:v>Salaried</x:v>
      </x:c>
      <x:c r="D490" t="str">
        <x:v>Group A</x:v>
      </x:c>
      <x:c r="E490" s="26" t="n">
        <x:v>18600.59</x:v>
      </x:c>
      <x:c r="F490" t="n">
        <x:v>0</x:v>
      </x:c>
      <x:c r="G490" s="25" t="n">
        <x:v>0.158636</x:v>
      </x:c>
      <x:c r="H490" t="n">
        <x:f>IF(G490&lt;$B$6,1,0)</x:f>
        <x:v>1</x:v>
      </x:c>
      <x:c r="I490" s="26" t="n">
        <x:f>H490*IF(F490=0,E490*$B$7,-E490*$B$8)</x:f>
        <x:v>2232.0708</x:v>
      </x:c>
    </x:row>
    <x:row r="491">
      <x:c r="A491" t="n">
        <x:v>2123</x:v>
      </x:c>
      <x:c r="B491" t="str">
        <x:v>2024-08</x:v>
      </x:c>
      <x:c r="C491" t="str">
        <x:v>Salaried</x:v>
      </x:c>
      <x:c r="D491" t="str">
        <x:v>Group A</x:v>
      </x:c>
      <x:c r="E491" s="26" t="n">
        <x:v>11036.68</x:v>
      </x:c>
      <x:c r="F491" t="n">
        <x:v>0</x:v>
      </x:c>
      <x:c r="G491" s="25" t="n">
        <x:v>0.185899</x:v>
      </x:c>
      <x:c r="H491" t="n">
        <x:f>IF(G491&lt;$B$6,1,0)</x:f>
        <x:v>0</x:v>
      </x:c>
      <x:c r="I491" s="26" t="n">
        <x:f>H491*IF(F491=0,E491*$B$7,-E491*$B$8)</x:f>
        <x:v>0</x:v>
      </x:c>
    </x:row>
    <x:row r="492">
      <x:c r="A492" t="n">
        <x:v>2140</x:v>
      </x:c>
      <x:c r="B492" t="str">
        <x:v>2024-08</x:v>
      </x:c>
      <x:c r="C492" t="str">
        <x:v>Contract</x:v>
      </x:c>
      <x:c r="D492" t="str">
        <x:v>Group A</x:v>
      </x:c>
      <x:c r="E492" s="26" t="n">
        <x:v>7568.07</x:v>
      </x:c>
      <x:c r="F492" t="n">
        <x:v>0</x:v>
      </x:c>
      <x:c r="G492" s="25" t="n">
        <x:v>0.044252</x:v>
      </x:c>
      <x:c r="H492" t="n">
        <x:f>IF(G492&lt;$B$6,1,0)</x:f>
        <x:v>1</x:v>
      </x:c>
      <x:c r="I492" s="26" t="n">
        <x:f>H492*IF(F492=0,E492*$B$7,-E492*$B$8)</x:f>
        <x:v>908.1683999999999</x:v>
      </x:c>
    </x:row>
    <x:row r="493">
      <x:c r="A493" t="n">
        <x:v>2160</x:v>
      </x:c>
      <x:c r="B493" t="str">
        <x:v>2024-08</x:v>
      </x:c>
      <x:c r="C493" t="str">
        <x:v>Salaried</x:v>
      </x:c>
      <x:c r="D493" t="str">
        <x:v>Group B</x:v>
      </x:c>
      <x:c r="E493" s="26" t="n">
        <x:v>14020.95</x:v>
      </x:c>
      <x:c r="F493" t="n">
        <x:v>1</x:v>
      </x:c>
      <x:c r="G493" s="25" t="n">
        <x:v>0.241746</x:v>
      </x:c>
      <x:c r="H493" t="n">
        <x:f>IF(G493&lt;$B$6,1,0)</x:f>
        <x:v>0</x:v>
      </x:c>
      <x:c r="I493" s="26" t="n">
        <x:f>H493*IF(F493=0,E493*$B$7,-E493*$B$8)</x:f>
        <x:v>0</x:v>
      </x:c>
    </x:row>
    <x:row r="494">
      <x:c r="A494" t="n">
        <x:v>2188</x:v>
      </x:c>
      <x:c r="B494" t="str">
        <x:v>2024-08</x:v>
      </x:c>
      <x:c r="C494" t="str">
        <x:v>Salaried</x:v>
      </x:c>
      <x:c r="D494" t="str">
        <x:v>Group A</x:v>
      </x:c>
      <x:c r="E494" s="26" t="n">
        <x:v>11589.91</x:v>
      </x:c>
      <x:c r="F494" t="n">
        <x:v>0</x:v>
      </x:c>
      <x:c r="G494" s="25" t="n">
        <x:v>0.631856</x:v>
      </x:c>
      <x:c r="H494" t="n">
        <x:f>IF(G494&lt;$B$6,1,0)</x:f>
        <x:v>0</x:v>
      </x:c>
      <x:c r="I494" s="26" t="n">
        <x:f>H494*IF(F494=0,E494*$B$7,-E494*$B$8)</x:f>
        <x:v>0</x:v>
      </x:c>
    </x:row>
    <x:row r="495">
      <x:c r="A495" t="n">
        <x:v>2198</x:v>
      </x:c>
      <x:c r="B495" t="str">
        <x:v>2024-08</x:v>
      </x:c>
      <x:c r="C495" t="str">
        <x:v>Salaried</x:v>
      </x:c>
      <x:c r="D495" t="str">
        <x:v>Group A</x:v>
      </x:c>
      <x:c r="E495" s="26" t="n">
        <x:v>17232.03</x:v>
      </x:c>
      <x:c r="F495" t="n">
        <x:v>0</x:v>
      </x:c>
      <x:c r="G495" s="25" t="n">
        <x:v>0.118853</x:v>
      </x:c>
      <x:c r="H495" t="n">
        <x:f>IF(G495&lt;$B$6,1,0)</x:f>
        <x:v>1</x:v>
      </x:c>
      <x:c r="I495" s="26" t="n">
        <x:f>H495*IF(F495=0,E495*$B$7,-E495*$B$8)</x:f>
        <x:v>2067.8435999999997</x:v>
      </x:c>
    </x:row>
    <x:row r="496">
      <x:c r="A496" t="n">
        <x:v>2199</x:v>
      </x:c>
      <x:c r="B496" t="str">
        <x:v>2024-08</x:v>
      </x:c>
      <x:c r="C496" t="str">
        <x:v>Salaried</x:v>
      </x:c>
      <x:c r="D496" t="str">
        <x:v>Group B</x:v>
      </x:c>
      <x:c r="E496" s="26" t="n">
        <x:v>20906.99</x:v>
      </x:c>
      <x:c r="F496" t="n">
        <x:v>1</x:v>
      </x:c>
      <x:c r="G496" s="25" t="n">
        <x:v>0.222916</x:v>
      </x:c>
      <x:c r="H496" t="n">
        <x:f>IF(G496&lt;$B$6,1,0)</x:f>
        <x:v>0</x:v>
      </x:c>
      <x:c r="I496" s="26" t="n">
        <x:f>H496*IF(F496=0,E496*$B$7,-E496*$B$8)</x:f>
        <x:v>0</x:v>
      </x:c>
    </x:row>
    <x:row r="497">
      <x:c r="A497" t="n">
        <x:v>2202</x:v>
      </x:c>
      <x:c r="B497" t="str">
        <x:v>2024-08</x:v>
      </x:c>
      <x:c r="C497" t="str">
        <x:v>Salaried</x:v>
      </x:c>
      <x:c r="D497" t="str">
        <x:v>Group A</x:v>
      </x:c>
      <x:c r="E497" s="26" t="n">
        <x:v>75000</x:v>
      </x:c>
      <x:c r="F497" t="n">
        <x:v>0</x:v>
      </x:c>
      <x:c r="G497" s="25" t="n">
        <x:v>0.094651</x:v>
      </x:c>
      <x:c r="H497" t="n">
        <x:f>IF(G497&lt;$B$6,1,0)</x:f>
        <x:v>1</x:v>
      </x:c>
      <x:c r="I497" s="26" t="n">
        <x:f>H497*IF(F497=0,E497*$B$7,-E497*$B$8)</x:f>
        <x:v>9000</x:v>
      </x:c>
    </x:row>
    <x:row r="498">
      <x:c r="A498" t="n">
        <x:v>2213</x:v>
      </x:c>
      <x:c r="B498" t="str">
        <x:v>2024-08</x:v>
      </x:c>
      <x:c r="C498" t="str">
        <x:v>Salaried</x:v>
      </x:c>
      <x:c r="D498" t="str">
        <x:v>Group A</x:v>
      </x:c>
      <x:c r="E498" s="26" t="n">
        <x:v>12408.69</x:v>
      </x:c>
      <x:c r="F498" t="n">
        <x:v>1</x:v>
      </x:c>
      <x:c r="G498" s="25" t="n">
        <x:v>0.445724</x:v>
      </x:c>
      <x:c r="H498" t="n">
        <x:f>IF(G498&lt;$B$6,1,0)</x:f>
        <x:v>0</x:v>
      </x:c>
      <x:c r="I498" s="26" t="n">
        <x:f>H498*IF(F498=0,E498*$B$7,-E498*$B$8)</x:f>
        <x:v>0</x:v>
      </x:c>
    </x:row>
    <x:row r="499">
      <x:c r="A499" t="n">
        <x:v>2222</x:v>
      </x:c>
      <x:c r="B499" t="str">
        <x:v>2024-08</x:v>
      </x:c>
      <x:c r="C499" t="str">
        <x:v>Salaried</x:v>
      </x:c>
      <x:c r="D499" t="str">
        <x:v>Group A</x:v>
      </x:c>
      <x:c r="E499" s="26" t="n">
        <x:v>34193.31</x:v>
      </x:c>
      <x:c r="F499" t="n">
        <x:v>1</x:v>
      </x:c>
      <x:c r="G499" s="25" t="n">
        <x:v>0.112772</x:v>
      </x:c>
      <x:c r="H499" t="n">
        <x:f>IF(G499&lt;$B$6,1,0)</x:f>
        <x:v>1</x:v>
      </x:c>
      <x:c r="I499" s="26" t="n">
        <x:f>H499*IF(F499=0,E499*$B$7,-E499*$B$8)</x:f>
        <x:v>-22225.6515</x:v>
      </x:c>
    </x:row>
    <x:row r="500">
      <x:c r="A500" t="n">
        <x:v>2224</x:v>
      </x:c>
      <x:c r="B500" t="str">
        <x:v>2024-08</x:v>
      </x:c>
      <x:c r="C500" t="str">
        <x:v>Contract</x:v>
      </x:c>
      <x:c r="D500" t="str">
        <x:v>Group A</x:v>
      </x:c>
      <x:c r="E500" s="26" t="n">
        <x:v>15839.56</x:v>
      </x:c>
      <x:c r="F500" t="n">
        <x:v>0</x:v>
      </x:c>
      <x:c r="G500" s="25" t="n">
        <x:v>0.33334</x:v>
      </x:c>
      <x:c r="H500" t="n">
        <x:f>IF(G500&lt;$B$6,1,0)</x:f>
        <x:v>0</x:v>
      </x:c>
      <x:c r="I500" s="26" t="n">
        <x:f>H500*IF(F500=0,E500*$B$7,-E500*$B$8)</x:f>
        <x:v>0</x:v>
      </x:c>
    </x:row>
    <x:row r="501">
      <x:c r="A501" t="n">
        <x:v>2225</x:v>
      </x:c>
      <x:c r="B501" t="str">
        <x:v>2024-08</x:v>
      </x:c>
      <x:c r="C501" t="str">
        <x:v>Self employed</x:v>
      </x:c>
      <x:c r="D501" t="str">
        <x:v>Group B</x:v>
      </x:c>
      <x:c r="E501" s="26" t="n">
        <x:v>17042.07</x:v>
      </x:c>
      <x:c r="F501" t="n">
        <x:v>0</x:v>
      </x:c>
      <x:c r="G501" s="25" t="n">
        <x:v>0.214847</x:v>
      </x:c>
      <x:c r="H501" t="n">
        <x:f>IF(G501&lt;$B$6,1,0)</x:f>
        <x:v>0</x:v>
      </x:c>
      <x:c r="I501" s="26" t="n">
        <x:f>H501*IF(F501=0,E501*$B$7,-E501*$B$8)</x:f>
        <x:v>0</x:v>
      </x:c>
    </x:row>
    <x:row r="502">
      <x:c r="A502" t="n">
        <x:v>2230</x:v>
      </x:c>
      <x:c r="B502" t="str">
        <x:v>2024-08</x:v>
      </x:c>
      <x:c r="C502" t="str">
        <x:v>Salaried</x:v>
      </x:c>
      <x:c r="D502" t="str">
        <x:v>Group B</x:v>
      </x:c>
      <x:c r="E502" s="26" t="n">
        <x:v>11903.94</x:v>
      </x:c>
      <x:c r="F502" t="n">
        <x:v>1</x:v>
      </x:c>
      <x:c r="G502" s="25" t="n">
        <x:v>0.363602</x:v>
      </x:c>
      <x:c r="H502" t="n">
        <x:f>IF(G502&lt;$B$6,1,0)</x:f>
        <x:v>0</x:v>
      </x:c>
      <x:c r="I502" s="26" t="n">
        <x:f>H502*IF(F502=0,E502*$B$7,-E502*$B$8)</x:f>
        <x:v>0</x:v>
      </x:c>
    </x:row>
    <x:row r="503">
      <x:c r="A503" t="n">
        <x:v>2239</x:v>
      </x:c>
      <x:c r="B503" t="str">
        <x:v>2024-08</x:v>
      </x:c>
      <x:c r="C503" t="str">
        <x:v>Contract</x:v>
      </x:c>
      <x:c r="D503" t="str">
        <x:v>Group B</x:v>
      </x:c>
      <x:c r="E503" s="26" t="n">
        <x:v>44843.49</x:v>
      </x:c>
      <x:c r="F503" t="n">
        <x:v>0</x:v>
      </x:c>
      <x:c r="G503" s="25" t="n">
        <x:v>0.185155</x:v>
      </x:c>
      <x:c r="H503" t="n">
        <x:f>IF(G503&lt;$B$6,1,0)</x:f>
        <x:v>0</x:v>
      </x:c>
      <x:c r="I503" s="26" t="n">
        <x:f>H503*IF(F503=0,E503*$B$7,-E503*$B$8)</x:f>
        <x:v>0</x:v>
      </x:c>
    </x:row>
    <x:row r="504">
      <x:c r="A504" t="n">
        <x:v>2294</x:v>
      </x:c>
      <x:c r="B504" t="str">
        <x:v>2024-08</x:v>
      </x:c>
      <x:c r="C504" t="str">
        <x:v>Salaried</x:v>
      </x:c>
      <x:c r="D504" t="str">
        <x:v>Group B</x:v>
      </x:c>
      <x:c r="E504" s="26" t="n">
        <x:v>8257.53</x:v>
      </x:c>
      <x:c r="F504" t="n">
        <x:v>0</x:v>
      </x:c>
      <x:c r="G504" s="25" t="n">
        <x:v>0.042493</x:v>
      </x:c>
      <x:c r="H504" t="n">
        <x:f>IF(G504&lt;$B$6,1,0)</x:f>
        <x:v>1</x:v>
      </x:c>
      <x:c r="I504" s="26" t="n">
        <x:f>H504*IF(F504=0,E504*$B$7,-E504*$B$8)</x:f>
        <x:v>990.9036000000001</x:v>
      </x:c>
    </x:row>
    <x:row r="505">
      <x:c r="A505" t="n">
        <x:v>2331</x:v>
      </x:c>
      <x:c r="B505" t="str">
        <x:v>2024-08</x:v>
      </x:c>
      <x:c r="C505" t="str">
        <x:v>Salaried</x:v>
      </x:c>
      <x:c r="D505" t="str">
        <x:v>Group B</x:v>
      </x:c>
      <x:c r="E505" s="26" t="n">
        <x:v>24532.53</x:v>
      </x:c>
      <x:c r="F505" t="n">
        <x:v>0</x:v>
      </x:c>
      <x:c r="G505" s="25" t="n">
        <x:v>0.025678</x:v>
      </x:c>
      <x:c r="H505" t="n">
        <x:f>IF(G505&lt;$B$6,1,0)</x:f>
        <x:v>1</x:v>
      </x:c>
      <x:c r="I505" s="26" t="n">
        <x:f>H505*IF(F505=0,E505*$B$7,-E505*$B$8)</x:f>
        <x:v>2943.9035999999996</x:v>
      </x:c>
    </x:row>
    <x:row r="506">
      <x:c r="A506" t="n">
        <x:v>2356</x:v>
      </x:c>
      <x:c r="B506" t="str">
        <x:v>2024-08</x:v>
      </x:c>
      <x:c r="C506" t="str">
        <x:v>Contract</x:v>
      </x:c>
      <x:c r="D506" t="str">
        <x:v>Group B</x:v>
      </x:c>
      <x:c r="E506" s="26" t="n">
        <x:v>8914.75</x:v>
      </x:c>
      <x:c r="F506" t="n">
        <x:v>0</x:v>
      </x:c>
      <x:c r="G506" s="25" t="n">
        <x:v>0.397541</x:v>
      </x:c>
      <x:c r="H506" t="n">
        <x:f>IF(G506&lt;$B$6,1,0)</x:f>
        <x:v>0</x:v>
      </x:c>
      <x:c r="I506" s="26" t="n">
        <x:f>H506*IF(F506=0,E506*$B$7,-E506*$B$8)</x:f>
        <x:v>0</x:v>
      </x:c>
    </x:row>
    <x:row r="507">
      <x:c r="A507" t="n">
        <x:v>2384</x:v>
      </x:c>
      <x:c r="B507" t="str">
        <x:v>2024-08</x:v>
      </x:c>
      <x:c r="C507" t="str">
        <x:v>Self employed</x:v>
      </x:c>
      <x:c r="D507" t="str">
        <x:v>Group B</x:v>
      </x:c>
      <x:c r="E507" s="26" t="n">
        <x:v>17737.65</x:v>
      </x:c>
      <x:c r="F507" t="n">
        <x:v>0</x:v>
      </x:c>
      <x:c r="G507" s="25" t="n">
        <x:v>0.393359</x:v>
      </x:c>
      <x:c r="H507" t="n">
        <x:f>IF(G507&lt;$B$6,1,0)</x:f>
        <x:v>0</x:v>
      </x:c>
      <x:c r="I507" s="26" t="n">
        <x:f>H507*IF(F507=0,E507*$B$7,-E507*$B$8)</x:f>
        <x:v>0</x:v>
      </x:c>
    </x:row>
    <x:row r="508">
      <x:c r="A508" t="n">
        <x:v>2390</x:v>
      </x:c>
      <x:c r="B508" t="str">
        <x:v>2024-08</x:v>
      </x:c>
      <x:c r="C508" t="str">
        <x:v>Salaried</x:v>
      </x:c>
      <x:c r="D508" t="str">
        <x:v>Group A</x:v>
      </x:c>
      <x:c r="E508" s="26" t="n">
        <x:v>10723.03</x:v>
      </x:c>
      <x:c r="F508" t="n">
        <x:v>0</x:v>
      </x:c>
      <x:c r="G508" s="25" t="n">
        <x:v>0.474504</x:v>
      </x:c>
      <x:c r="H508" t="n">
        <x:f>IF(G508&lt;$B$6,1,0)</x:f>
        <x:v>0</x:v>
      </x:c>
      <x:c r="I508" s="26" t="n">
        <x:f>H508*IF(F508=0,E508*$B$7,-E508*$B$8)</x:f>
        <x:v>0</x:v>
      </x:c>
    </x:row>
    <x:row r="509">
      <x:c r="A509" t="n">
        <x:v>2405</x:v>
      </x:c>
      <x:c r="B509" t="str">
        <x:v>2024-08</x:v>
      </x:c>
      <x:c r="C509" t="str">
        <x:v>Salaried</x:v>
      </x:c>
      <x:c r="D509" t="str">
        <x:v>Group B</x:v>
      </x:c>
      <x:c r="E509" s="26" t="n">
        <x:v>17275.22</x:v>
      </x:c>
      <x:c r="F509" t="n">
        <x:v>0</x:v>
      </x:c>
      <x:c r="G509" s="25" t="n">
        <x:v>0.048579</x:v>
      </x:c>
      <x:c r="H509" t="n">
        <x:f>IF(G509&lt;$B$6,1,0)</x:f>
        <x:v>1</x:v>
      </x:c>
      <x:c r="I509" s="26" t="n">
        <x:f>H509*IF(F509=0,E509*$B$7,-E509*$B$8)</x:f>
        <x:v>2073.0264</x:v>
      </x:c>
    </x:row>
    <x:row r="510">
      <x:c r="A510" t="n">
        <x:v>2463</x:v>
      </x:c>
      <x:c r="B510" t="str">
        <x:v>2024-08</x:v>
      </x:c>
      <x:c r="C510" t="str">
        <x:v>Contract</x:v>
      </x:c>
      <x:c r="D510" t="str">
        <x:v>Group A</x:v>
      </x:c>
      <x:c r="E510" s="26" t="n">
        <x:v>8713.94</x:v>
      </x:c>
      <x:c r="F510" t="n">
        <x:v>1</x:v>
      </x:c>
      <x:c r="G510" s="25" t="n">
        <x:v>0.479143</x:v>
      </x:c>
      <x:c r="H510" t="n">
        <x:f>IF(G510&lt;$B$6,1,0)</x:f>
        <x:v>0</x:v>
      </x:c>
      <x:c r="I510" s="26" t="n">
        <x:f>H510*IF(F510=0,E510*$B$7,-E510*$B$8)</x:f>
        <x:v>0</x:v>
      </x:c>
    </x:row>
    <x:row r="511">
      <x:c r="A511" t="n">
        <x:v>2478</x:v>
      </x:c>
      <x:c r="B511" t="str">
        <x:v>2024-08</x:v>
      </x:c>
      <x:c r="C511" t="str">
        <x:v>Contract</x:v>
      </x:c>
      <x:c r="D511" t="str">
        <x:v>Group B</x:v>
      </x:c>
      <x:c r="E511" s="26" t="n">
        <x:v>51481.89</x:v>
      </x:c>
      <x:c r="F511" t="n">
        <x:v>0</x:v>
      </x:c>
      <x:c r="G511" s="25" t="n">
        <x:v>0.241277</x:v>
      </x:c>
      <x:c r="H511" t="n">
        <x:f>IF(G511&lt;$B$6,1,0)</x:f>
        <x:v>0</x:v>
      </x:c>
      <x:c r="I511" s="26" t="n">
        <x:f>H511*IF(F511=0,E511*$B$7,-E511*$B$8)</x:f>
        <x:v>0</x:v>
      </x:c>
    </x:row>
    <x:row r="512">
      <x:c r="A512" t="n">
        <x:v>2486</x:v>
      </x:c>
      <x:c r="B512" t="str">
        <x:v>2024-08</x:v>
      </x:c>
      <x:c r="C512" t="str">
        <x:v>Contract</x:v>
      </x:c>
      <x:c r="D512" t="str">
        <x:v>Group B</x:v>
      </x:c>
      <x:c r="E512" s="26" t="n">
        <x:v>31385.46</x:v>
      </x:c>
      <x:c r="F512" t="n">
        <x:v>1</x:v>
      </x:c>
      <x:c r="G512" s="25" t="n">
        <x:v>0.235004</x:v>
      </x:c>
      <x:c r="H512" t="n">
        <x:f>IF(G512&lt;$B$6,1,0)</x:f>
        <x:v>0</x:v>
      </x:c>
      <x:c r="I512" s="26" t="n">
        <x:f>H512*IF(F512=0,E512*$B$7,-E512*$B$8)</x:f>
        <x:v>0</x:v>
      </x:c>
    </x:row>
    <x:row r="513">
      <x:c r="A513" t="n">
        <x:v>2520</x:v>
      </x:c>
      <x:c r="B513" t="str">
        <x:v>2024-08</x:v>
      </x:c>
      <x:c r="C513" t="str">
        <x:v>Salaried</x:v>
      </x:c>
      <x:c r="D513" t="str">
        <x:v>Group B</x:v>
      </x:c>
      <x:c r="E513" s="26" t="n">
        <x:v>4729.56</x:v>
      </x:c>
      <x:c r="F513" t="n">
        <x:v>0</x:v>
      </x:c>
      <x:c r="G513" s="25" t="n">
        <x:v>0.039889</x:v>
      </x:c>
      <x:c r="H513" t="n">
        <x:f>IF(G513&lt;$B$6,1,0)</x:f>
        <x:v>1</x:v>
      </x:c>
      <x:c r="I513" s="26" t="n">
        <x:f>H513*IF(F513=0,E513*$B$7,-E513*$B$8)</x:f>
        <x:v>567.5472</x:v>
      </x:c>
    </x:row>
    <x:row r="514">
      <x:c r="A514" t="n">
        <x:v>2540</x:v>
      </x:c>
      <x:c r="B514" t="str">
        <x:v>2024-08</x:v>
      </x:c>
      <x:c r="C514" t="str">
        <x:v>Salaried</x:v>
      </x:c>
      <x:c r="D514" t="str">
        <x:v>Group A</x:v>
      </x:c>
      <x:c r="E514" s="26" t="n">
        <x:v>45351.59</x:v>
      </x:c>
      <x:c r="F514" t="n">
        <x:v>0</x:v>
      </x:c>
      <x:c r="G514" s="25" t="n">
        <x:v>0.121506</x:v>
      </x:c>
      <x:c r="H514" t="n">
        <x:f>IF(G514&lt;$B$6,1,0)</x:f>
        <x:v>1</x:v>
      </x:c>
      <x:c r="I514" s="26" t="n">
        <x:f>H514*IF(F514=0,E514*$B$7,-E514*$B$8)</x:f>
        <x:v>5442.190799999999</x:v>
      </x:c>
    </x:row>
    <x:row r="515">
      <x:c r="A515" t="n">
        <x:v>2554</x:v>
      </x:c>
      <x:c r="B515" t="str">
        <x:v>2024-08</x:v>
      </x:c>
      <x:c r="C515" t="str">
        <x:v>Contract</x:v>
      </x:c>
      <x:c r="D515" t="str">
        <x:v>Group A</x:v>
      </x:c>
      <x:c r="E515" s="26" t="n">
        <x:v>10946.2</x:v>
      </x:c>
      <x:c r="F515" t="n">
        <x:v>0</x:v>
      </x:c>
      <x:c r="G515" s="25" t="n">
        <x:v>0.124688</x:v>
      </x:c>
      <x:c r="H515" t="n">
        <x:f>IF(G515&lt;$B$6,1,0)</x:f>
        <x:v>1</x:v>
      </x:c>
      <x:c r="I515" s="26" t="n">
        <x:f>H515*IF(F515=0,E515*$B$7,-E515*$B$8)</x:f>
        <x:v>1313.544</x:v>
      </x:c>
    </x:row>
    <x:row r="516">
      <x:c r="A516" t="n">
        <x:v>2576</x:v>
      </x:c>
      <x:c r="B516" t="str">
        <x:v>2024-08</x:v>
      </x:c>
      <x:c r="C516" t="str">
        <x:v>Salaried</x:v>
      </x:c>
      <x:c r="D516" t="str">
        <x:v>Group B</x:v>
      </x:c>
      <x:c r="E516" s="26" t="n">
        <x:v>14119.01</x:v>
      </x:c>
      <x:c r="F516" t="n">
        <x:v>0</x:v>
      </x:c>
      <x:c r="G516" s="25" t="n">
        <x:v>0.65097</x:v>
      </x:c>
      <x:c r="H516" t="n">
        <x:f>IF(G516&lt;$B$6,1,0)</x:f>
        <x:v>0</x:v>
      </x:c>
      <x:c r="I516" s="26" t="n">
        <x:f>H516*IF(F516=0,E516*$B$7,-E516*$B$8)</x:f>
        <x:v>0</x:v>
      </x:c>
    </x:row>
    <x:row r="517">
      <x:c r="A517" t="n">
        <x:v>2583</x:v>
      </x:c>
      <x:c r="B517" t="str">
        <x:v>2024-08</x:v>
      </x:c>
      <x:c r="C517" t="str">
        <x:v>Salaried</x:v>
      </x:c>
      <x:c r="D517" t="str">
        <x:v>Group A</x:v>
      </x:c>
      <x:c r="E517" s="26" t="n">
        <x:v>17593.65</x:v>
      </x:c>
      <x:c r="F517" t="n">
        <x:v>0</x:v>
      </x:c>
      <x:c r="G517" s="25" t="n">
        <x:v>0.09884</x:v>
      </x:c>
      <x:c r="H517" t="n">
        <x:f>IF(G517&lt;$B$6,1,0)</x:f>
        <x:v>1</x:v>
      </x:c>
      <x:c r="I517" s="26" t="n">
        <x:f>H517*IF(F517=0,E517*$B$7,-E517*$B$8)</x:f>
        <x:v>2111.2380000000003</x:v>
      </x:c>
    </x:row>
    <x:row r="518">
      <x:c r="A518" t="n">
        <x:v>2595</x:v>
      </x:c>
      <x:c r="B518" t="str">
        <x:v>2024-08</x:v>
      </x:c>
      <x:c r="C518" t="str">
        <x:v>Salaried</x:v>
      </x:c>
      <x:c r="D518" t="str">
        <x:v>Group A</x:v>
      </x:c>
      <x:c r="E518" s="26" t="n">
        <x:v>31277.73</x:v>
      </x:c>
      <x:c r="F518" t="n">
        <x:v>0</x:v>
      </x:c>
      <x:c r="G518" s="25" t="n">
        <x:v>0.114358</x:v>
      </x:c>
      <x:c r="H518" t="n">
        <x:f>IF(G518&lt;$B$6,1,0)</x:f>
        <x:v>1</x:v>
      </x:c>
      <x:c r="I518" s="26" t="n">
        <x:f>H518*IF(F518=0,E518*$B$7,-E518*$B$8)</x:f>
        <x:v>3753.3275999999996</x:v>
      </x:c>
    </x:row>
    <x:row r="519">
      <x:c r="A519" t="n">
        <x:v>2600</x:v>
      </x:c>
      <x:c r="B519" t="str">
        <x:v>2024-08</x:v>
      </x:c>
      <x:c r="C519" t="str">
        <x:v>Salaried</x:v>
      </x:c>
      <x:c r="D519" t="str">
        <x:v>Group A</x:v>
      </x:c>
      <x:c r="E519" s="26" t="n">
        <x:v>5283.16</x:v>
      </x:c>
      <x:c r="F519" t="n">
        <x:v>0</x:v>
      </x:c>
      <x:c r="G519" s="25" t="n">
        <x:v>0.129138</x:v>
      </x:c>
      <x:c r="H519" t="n">
        <x:f>IF(G519&lt;$B$6,1,0)</x:f>
        <x:v>1</x:v>
      </x:c>
      <x:c r="I519" s="26" t="n">
        <x:f>H519*IF(F519=0,E519*$B$7,-E519*$B$8)</x:f>
        <x:v>633.9792</x:v>
      </x:c>
    </x:row>
    <x:row r="520">
      <x:c r="A520" t="n">
        <x:v>2633</x:v>
      </x:c>
      <x:c r="B520" t="str">
        <x:v>2024-08</x:v>
      </x:c>
      <x:c r="C520" t="str">
        <x:v>Salaried</x:v>
      </x:c>
      <x:c r="D520" t="str">
        <x:v>Group B</x:v>
      </x:c>
      <x:c r="E520" s="26" t="n">
        <x:v>7728.81</x:v>
      </x:c>
      <x:c r="F520" t="n">
        <x:v>0</x:v>
      </x:c>
      <x:c r="G520" s="25" t="n">
        <x:v>0.249746</x:v>
      </x:c>
      <x:c r="H520" t="n">
        <x:f>IF(G520&lt;$B$6,1,0)</x:f>
        <x:v>0</x:v>
      </x:c>
      <x:c r="I520" s="26" t="n">
        <x:f>H520*IF(F520=0,E520*$B$7,-E520*$B$8)</x:f>
        <x:v>0</x:v>
      </x:c>
    </x:row>
    <x:row r="521">
      <x:c r="A521" t="n">
        <x:v>2636</x:v>
      </x:c>
      <x:c r="B521" t="str">
        <x:v>2024-08</x:v>
      </x:c>
      <x:c r="C521" t="str">
        <x:v>Salaried</x:v>
      </x:c>
      <x:c r="D521" t="str">
        <x:v>Group A</x:v>
      </x:c>
      <x:c r="E521" s="26" t="n">
        <x:v>33042.76</x:v>
      </x:c>
      <x:c r="F521" t="n">
        <x:v>0</x:v>
      </x:c>
      <x:c r="G521" s="25" t="n">
        <x:v>0.23527</x:v>
      </x:c>
      <x:c r="H521" t="n">
        <x:f>IF(G521&lt;$B$6,1,0)</x:f>
        <x:v>0</x:v>
      </x:c>
      <x:c r="I521" s="26" t="n">
        <x:f>H521*IF(F521=0,E521*$B$7,-E521*$B$8)</x:f>
        <x:v>0</x:v>
      </x:c>
    </x:row>
    <x:row r="522">
      <x:c r="A522" t="n">
        <x:v>2704</x:v>
      </x:c>
      <x:c r="B522" t="str">
        <x:v>2024-08</x:v>
      </x:c>
      <x:c r="C522" t="str">
        <x:v>Salaried</x:v>
      </x:c>
      <x:c r="D522" t="str">
        <x:v>Group A</x:v>
      </x:c>
      <x:c r="E522" s="26" t="n">
        <x:v>24295.16</x:v>
      </x:c>
      <x:c r="F522" t="n">
        <x:v>0</x:v>
      </x:c>
      <x:c r="G522" s="25" t="n">
        <x:v>0.124838</x:v>
      </x:c>
      <x:c r="H522" t="n">
        <x:f>IF(G522&lt;$B$6,1,0)</x:f>
        <x:v>1</x:v>
      </x:c>
      <x:c r="I522" s="26" t="n">
        <x:f>H522*IF(F522=0,E522*$B$7,-E522*$B$8)</x:f>
        <x:v>2915.4192</x:v>
      </x:c>
    </x:row>
    <x:row r="523">
      <x:c r="A523" t="n">
        <x:v>2728</x:v>
      </x:c>
      <x:c r="B523" t="str">
        <x:v>2024-08</x:v>
      </x:c>
      <x:c r="C523" t="str">
        <x:v>Salaried</x:v>
      </x:c>
      <x:c r="D523" t="str">
        <x:v>Group B</x:v>
      </x:c>
      <x:c r="E523" s="26" t="n">
        <x:v>21006.07</x:v>
      </x:c>
      <x:c r="F523" t="n">
        <x:v>0</x:v>
      </x:c>
      <x:c r="G523" s="25" t="n">
        <x:v>0.130068</x:v>
      </x:c>
      <x:c r="H523" t="n">
        <x:f>IF(G523&lt;$B$6,1,0)</x:f>
        <x:v>1</x:v>
      </x:c>
      <x:c r="I523" s="26" t="n">
        <x:f>H523*IF(F523=0,E523*$B$7,-E523*$B$8)</x:f>
        <x:v>2520.7284</x:v>
      </x:c>
    </x:row>
    <x:row r="524">
      <x:c r="A524" t="n">
        <x:v>2760</x:v>
      </x:c>
      <x:c r="B524" t="str">
        <x:v>2024-08</x:v>
      </x:c>
      <x:c r="C524" t="str">
        <x:v>Self employed</x:v>
      </x:c>
      <x:c r="D524" t="str">
        <x:v>Group A</x:v>
      </x:c>
      <x:c r="E524" s="26" t="n">
        <x:v>8699.91</x:v>
      </x:c>
      <x:c r="F524" t="n">
        <x:v>0</x:v>
      </x:c>
      <x:c r="G524" s="25" t="n">
        <x:v>0.065901</x:v>
      </x:c>
      <x:c r="H524" t="n">
        <x:f>IF(G524&lt;$B$6,1,0)</x:f>
        <x:v>1</x:v>
      </x:c>
      <x:c r="I524" s="26" t="n">
        <x:f>H524*IF(F524=0,E524*$B$7,-E524*$B$8)</x:f>
        <x:v>1043.9892</x:v>
      </x:c>
    </x:row>
    <x:row r="525">
      <x:c r="A525" t="n">
        <x:v>2764</x:v>
      </x:c>
      <x:c r="B525" t="str">
        <x:v>2024-08</x:v>
      </x:c>
      <x:c r="C525" t="str">
        <x:v>Self employed</x:v>
      </x:c>
      <x:c r="D525" t="str">
        <x:v>Group A</x:v>
      </x:c>
      <x:c r="E525" s="26" t="n">
        <x:v>7174.7</x:v>
      </x:c>
      <x:c r="F525" t="n">
        <x:v>1</x:v>
      </x:c>
      <x:c r="G525" s="25" t="n">
        <x:v>0.138972</x:v>
      </x:c>
      <x:c r="H525" t="n">
        <x:f>IF(G525&lt;$B$6,1,0)</x:f>
        <x:v>1</x:v>
      </x:c>
      <x:c r="I525" s="26" t="n">
        <x:f>H525*IF(F525=0,E525*$B$7,-E525*$B$8)</x:f>
        <x:v>-4663.555</x:v>
      </x:c>
    </x:row>
    <x:row r="526">
      <x:c r="A526" t="n">
        <x:v>2793</x:v>
      </x:c>
      <x:c r="B526" t="str">
        <x:v>2024-08</x:v>
      </x:c>
      <x:c r="C526" t="str">
        <x:v>Salaried</x:v>
      </x:c>
      <x:c r="D526" t="str">
        <x:v>Group B</x:v>
      </x:c>
      <x:c r="E526" s="26" t="n">
        <x:v>12522.9</x:v>
      </x:c>
      <x:c r="F526" t="n">
        <x:v>0</x:v>
      </x:c>
      <x:c r="G526" s="25" t="n">
        <x:v>0.096519</x:v>
      </x:c>
      <x:c r="H526" t="n">
        <x:f>IF(G526&lt;$B$6,1,0)</x:f>
        <x:v>1</x:v>
      </x:c>
      <x:c r="I526" s="26" t="n">
        <x:f>H526*IF(F526=0,E526*$B$7,-E526*$B$8)</x:f>
        <x:v>1502.7479999999998</x:v>
      </x:c>
    </x:row>
    <x:row r="527">
      <x:c r="A527" t="n">
        <x:v>2796</x:v>
      </x:c>
      <x:c r="B527" t="str">
        <x:v>2024-08</x:v>
      </x:c>
      <x:c r="C527" t="str">
        <x:v>Contract</x:v>
      </x:c>
      <x:c r="D527" t="str">
        <x:v>Group A</x:v>
      </x:c>
      <x:c r="E527" s="26" t="n">
        <x:v>6035.06</x:v>
      </x:c>
      <x:c r="F527" t="n">
        <x:v>0</x:v>
      </x:c>
      <x:c r="G527" s="25" t="n">
        <x:v>0.103631</x:v>
      </x:c>
      <x:c r="H527" t="n">
        <x:f>IF(G527&lt;$B$6,1,0)</x:f>
        <x:v>1</x:v>
      </x:c>
      <x:c r="I527" s="26" t="n">
        <x:f>H527*IF(F527=0,E527*$B$7,-E527*$B$8)</x:f>
        <x:v>724.2072000000001</x:v>
      </x:c>
    </x:row>
    <x:row r="528">
      <x:c r="A528" t="n">
        <x:v>2801</x:v>
      </x:c>
      <x:c r="B528" t="str">
        <x:v>2024-08</x:v>
      </x:c>
      <x:c r="C528" t="str">
        <x:v>Salaried</x:v>
      </x:c>
      <x:c r="D528" t="str">
        <x:v>Group B</x:v>
      </x:c>
      <x:c r="E528" s="26" t="n">
        <x:v>19648.95</x:v>
      </x:c>
      <x:c r="F528" t="n">
        <x:v>1</x:v>
      </x:c>
      <x:c r="G528" s="25" t="n">
        <x:v>0.062487</x:v>
      </x:c>
      <x:c r="H528" t="n">
        <x:f>IF(G528&lt;$B$6,1,0)</x:f>
        <x:v>1</x:v>
      </x:c>
      <x:c r="I528" s="26" t="n">
        <x:f>H528*IF(F528=0,E528*$B$7,-E528*$B$8)</x:f>
        <x:v>-12771.817500000001</x:v>
      </x:c>
    </x:row>
    <x:row r="529">
      <x:c r="A529" t="n">
        <x:v>2810</x:v>
      </x:c>
      <x:c r="B529" t="str">
        <x:v>2024-08</x:v>
      </x:c>
      <x:c r="C529" t="str">
        <x:v>Salaried</x:v>
      </x:c>
      <x:c r="D529" t="str">
        <x:v>Group A</x:v>
      </x:c>
      <x:c r="E529" s="26" t="n">
        <x:v>22385.92</x:v>
      </x:c>
      <x:c r="F529" t="n">
        <x:v>0</x:v>
      </x:c>
      <x:c r="G529" s="25" t="n">
        <x:v>0.049618</x:v>
      </x:c>
      <x:c r="H529" t="n">
        <x:f>IF(G529&lt;$B$6,1,0)</x:f>
        <x:v>1</x:v>
      </x:c>
      <x:c r="I529" s="26" t="n">
        <x:f>H529*IF(F529=0,E529*$B$7,-E529*$B$8)</x:f>
        <x:v>2686.3104</x:v>
      </x:c>
    </x:row>
    <x:row r="530">
      <x:c r="A530" t="n">
        <x:v>2832</x:v>
      </x:c>
      <x:c r="B530" t="str">
        <x:v>2024-08</x:v>
      </x:c>
      <x:c r="C530" t="str">
        <x:v>Salaried</x:v>
      </x:c>
      <x:c r="D530" t="str">
        <x:v>Group A</x:v>
      </x:c>
      <x:c r="E530" s="26" t="n">
        <x:v>19127.04</x:v>
      </x:c>
      <x:c r="F530" t="n">
        <x:v>0</x:v>
      </x:c>
      <x:c r="G530" s="25" t="n">
        <x:v>0.074489</x:v>
      </x:c>
      <x:c r="H530" t="n">
        <x:f>IF(G530&lt;$B$6,1,0)</x:f>
        <x:v>1</x:v>
      </x:c>
      <x:c r="I530" s="26" t="n">
        <x:f>H530*IF(F530=0,E530*$B$7,-E530*$B$8)</x:f>
        <x:v>2295.2448</x:v>
      </x:c>
    </x:row>
    <x:row r="531">
      <x:c r="A531" t="n">
        <x:v>2833</x:v>
      </x:c>
      <x:c r="B531" t="str">
        <x:v>2024-08</x:v>
      </x:c>
      <x:c r="C531" t="str">
        <x:v>Contract</x:v>
      </x:c>
      <x:c r="D531" t="str">
        <x:v>Group A</x:v>
      </x:c>
      <x:c r="E531" s="26" t="n">
        <x:v>12331.21</x:v>
      </x:c>
      <x:c r="F531" t="n">
        <x:v>0</x:v>
      </x:c>
      <x:c r="G531" s="25" t="n">
        <x:v>0.611021</x:v>
      </x:c>
      <x:c r="H531" t="n">
        <x:f>IF(G531&lt;$B$6,1,0)</x:f>
        <x:v>0</x:v>
      </x:c>
      <x:c r="I531" s="26" t="n">
        <x:f>H531*IF(F531=0,E531*$B$7,-E531*$B$8)</x:f>
        <x:v>0</x:v>
      </x:c>
    </x:row>
    <x:row r="532">
      <x:c r="A532" t="n">
        <x:v>2843</x:v>
      </x:c>
      <x:c r="B532" t="str">
        <x:v>2024-08</x:v>
      </x:c>
      <x:c r="C532" t="str">
        <x:v>Salaried</x:v>
      </x:c>
      <x:c r="D532" t="str">
        <x:v>Group A</x:v>
      </x:c>
      <x:c r="E532" s="26" t="n">
        <x:v>15258.62</x:v>
      </x:c>
      <x:c r="F532" t="n">
        <x:v>1</x:v>
      </x:c>
      <x:c r="G532" s="25" t="n">
        <x:v>0.230064</x:v>
      </x:c>
      <x:c r="H532" t="n">
        <x:f>IF(G532&lt;$B$6,1,0)</x:f>
        <x:v>0</x:v>
      </x:c>
      <x:c r="I532" s="26" t="n">
        <x:f>H532*IF(F532=0,E532*$B$7,-E532*$B$8)</x:f>
        <x:v>0</x:v>
      </x:c>
    </x:row>
    <x:row r="533">
      <x:c r="A533" t="n">
        <x:v>2863</x:v>
      </x:c>
      <x:c r="B533" t="str">
        <x:v>2024-08</x:v>
      </x:c>
      <x:c r="C533" t="str">
        <x:v>Self employed</x:v>
      </x:c>
      <x:c r="D533" t="str">
        <x:v>Group A</x:v>
      </x:c>
      <x:c r="E533" s="26" t="n">
        <x:v>35005.66</x:v>
      </x:c>
      <x:c r="F533" t="n">
        <x:v>0</x:v>
      </x:c>
      <x:c r="G533" s="25" t="n">
        <x:v>0.22234</x:v>
      </x:c>
      <x:c r="H533" t="n">
        <x:f>IF(G533&lt;$B$6,1,0)</x:f>
        <x:v>0</x:v>
      </x:c>
      <x:c r="I533" s="26" t="n">
        <x:f>H533*IF(F533=0,E533*$B$7,-E533*$B$8)</x:f>
        <x:v>0</x:v>
      </x:c>
    </x:row>
    <x:row r="534">
      <x:c r="A534" t="n">
        <x:v>2873</x:v>
      </x:c>
      <x:c r="B534" t="str">
        <x:v>2024-08</x:v>
      </x:c>
      <x:c r="C534" t="str">
        <x:v>Self employed</x:v>
      </x:c>
      <x:c r="D534" t="str">
        <x:v>Group A</x:v>
      </x:c>
      <x:c r="E534" s="26" t="n">
        <x:v>12966.67</x:v>
      </x:c>
      <x:c r="F534" t="n">
        <x:v>0</x:v>
      </x:c>
      <x:c r="G534" s="25" t="n">
        <x:v>0.020578</x:v>
      </x:c>
      <x:c r="H534" t="n">
        <x:f>IF(G534&lt;$B$6,1,0)</x:f>
        <x:v>1</x:v>
      </x:c>
      <x:c r="I534" s="26" t="n">
        <x:f>H534*IF(F534=0,E534*$B$7,-E534*$B$8)</x:f>
        <x:v>1556.0004</x:v>
      </x:c>
    </x:row>
    <x:row r="535">
      <x:c r="A535" t="n">
        <x:v>2882</x:v>
      </x:c>
      <x:c r="B535" t="str">
        <x:v>2024-08</x:v>
      </x:c>
      <x:c r="C535" t="str">
        <x:v>Self employed</x:v>
      </x:c>
      <x:c r="D535" t="str">
        <x:v>Group B</x:v>
      </x:c>
      <x:c r="E535" s="26" t="n">
        <x:v>36505.56</x:v>
      </x:c>
      <x:c r="F535" t="n">
        <x:v>0</x:v>
      </x:c>
      <x:c r="G535" s="25" t="n">
        <x:v>0.181098</x:v>
      </x:c>
      <x:c r="H535" t="n">
        <x:f>IF(G535&lt;$B$6,1,0)</x:f>
        <x:v>0</x:v>
      </x:c>
      <x:c r="I535" s="26" t="n">
        <x:f>H535*IF(F535=0,E535*$B$7,-E535*$B$8)</x:f>
        <x:v>0</x:v>
      </x:c>
    </x:row>
    <x:row r="536">
      <x:c r="A536" t="n">
        <x:v>2928</x:v>
      </x:c>
      <x:c r="B536" t="str">
        <x:v>2024-08</x:v>
      </x:c>
      <x:c r="C536" t="str">
        <x:v>Salaried</x:v>
      </x:c>
      <x:c r="D536" t="str">
        <x:v>Group A</x:v>
      </x:c>
      <x:c r="E536" s="26" t="n">
        <x:v>10830.99</x:v>
      </x:c>
      <x:c r="F536" t="n">
        <x:v>1</x:v>
      </x:c>
      <x:c r="G536" s="25" t="n">
        <x:v>0.162042</x:v>
      </x:c>
      <x:c r="H536" t="n">
        <x:f>IF(G536&lt;$B$6,1,0)</x:f>
        <x:v>0</x:v>
      </x:c>
      <x:c r="I536" s="26" t="n">
        <x:f>H536*IF(F536=0,E536*$B$7,-E536*$B$8)</x:f>
        <x:v>0</x:v>
      </x:c>
    </x:row>
    <x:row r="537">
      <x:c r="A537" t="n">
        <x:v>2985</x:v>
      </x:c>
      <x:c r="B537" t="str">
        <x:v>2024-08</x:v>
      </x:c>
      <x:c r="C537" t="str">
        <x:v>Self employed</x:v>
      </x:c>
      <x:c r="D537" t="str">
        <x:v>Group B</x:v>
      </x:c>
      <x:c r="E537" s="26" t="n">
        <x:v>10585.93</x:v>
      </x:c>
      <x:c r="F537" t="n">
        <x:v>0</x:v>
      </x:c>
      <x:c r="G537" s="25" t="n">
        <x:v>0.127726</x:v>
      </x:c>
      <x:c r="H537" t="n">
        <x:f>IF(G537&lt;$B$6,1,0)</x:f>
        <x:v>1</x:v>
      </x:c>
      <x:c r="I537" s="26" t="n">
        <x:f>H537*IF(F537=0,E537*$B$7,-E537*$B$8)</x:f>
        <x:v>1270.3116</x:v>
      </x:c>
    </x:row>
    <x:row r="538">
      <x:c r="A538" t="n">
        <x:v>2993</x:v>
      </x:c>
      <x:c r="B538" t="str">
        <x:v>2024-08</x:v>
      </x:c>
      <x:c r="C538" t="str">
        <x:v>Salaried</x:v>
      </x:c>
      <x:c r="D538" t="str">
        <x:v>Group A</x:v>
      </x:c>
      <x:c r="E538" s="26" t="n">
        <x:v>3759.52</x:v>
      </x:c>
      <x:c r="F538" t="n">
        <x:v>0</x:v>
      </x:c>
      <x:c r="G538" s="25" t="n">
        <x:v>0.547263</x:v>
      </x:c>
      <x:c r="H538" t="n">
        <x:f>IF(G538&lt;$B$6,1,0)</x:f>
        <x:v>0</x:v>
      </x:c>
      <x:c r="I538" s="26" t="n">
        <x:f>H538*IF(F538=0,E538*$B$7,-E538*$B$8)</x:f>
        <x:v>0</x:v>
      </x:c>
    </x:row>
    <x:row r="539">
      <x:c r="A539" t="n">
        <x:v>3048</x:v>
      </x:c>
      <x:c r="B539" t="str">
        <x:v>2024-08</x:v>
      </x:c>
      <x:c r="C539" t="str">
        <x:v>Salaried</x:v>
      </x:c>
      <x:c r="D539" t="str">
        <x:v>Group A</x:v>
      </x:c>
      <x:c r="E539" s="26" t="n">
        <x:v>12653.74</x:v>
      </x:c>
      <x:c r="F539" t="n">
        <x:v>0</x:v>
      </x:c>
      <x:c r="G539" s="25" t="n">
        <x:v>0.033225</x:v>
      </x:c>
      <x:c r="H539" t="n">
        <x:f>IF(G539&lt;$B$6,1,0)</x:f>
        <x:v>1</x:v>
      </x:c>
      <x:c r="I539" s="26" t="n">
        <x:f>H539*IF(F539=0,E539*$B$7,-E539*$B$8)</x:f>
        <x:v>1518.4488</x:v>
      </x:c>
    </x:row>
    <x:row r="540">
      <x:c r="A540" t="n">
        <x:v>3065</x:v>
      </x:c>
      <x:c r="B540" t="str">
        <x:v>2024-08</x:v>
      </x:c>
      <x:c r="C540" t="str">
        <x:v>Salaried</x:v>
      </x:c>
      <x:c r="D540" t="str">
        <x:v>Group B</x:v>
      </x:c>
      <x:c r="E540" s="26" t="n">
        <x:v>35095.39</x:v>
      </x:c>
      <x:c r="F540" t="n">
        <x:v>0</x:v>
      </x:c>
      <x:c r="G540" s="25" t="n">
        <x:v>0.54074</x:v>
      </x:c>
      <x:c r="H540" t="n">
        <x:f>IF(G540&lt;$B$6,1,0)</x:f>
        <x:v>0</x:v>
      </x:c>
      <x:c r="I540" s="26" t="n">
        <x:f>H540*IF(F540=0,E540*$B$7,-E540*$B$8)</x:f>
        <x:v>0</x:v>
      </x:c>
    </x:row>
    <x:row r="541">
      <x:c r="A541" t="n">
        <x:v>3088</x:v>
      </x:c>
      <x:c r="B541" t="str">
        <x:v>2024-08</x:v>
      </x:c>
      <x:c r="C541" t="str">
        <x:v>Self employed</x:v>
      </x:c>
      <x:c r="D541" t="str">
        <x:v>Group A</x:v>
      </x:c>
      <x:c r="E541" s="26" t="n">
        <x:v>13941.99</x:v>
      </x:c>
      <x:c r="F541" t="n">
        <x:v>0</x:v>
      </x:c>
      <x:c r="G541" s="25" t="n">
        <x:v>0.265651</x:v>
      </x:c>
      <x:c r="H541" t="n">
        <x:f>IF(G541&lt;$B$6,1,0)</x:f>
        <x:v>0</x:v>
      </x:c>
      <x:c r="I541" s="26" t="n">
        <x:f>H541*IF(F541=0,E541*$B$7,-E541*$B$8)</x:f>
        <x:v>0</x:v>
      </x:c>
    </x:row>
    <x:row r="542">
      <x:c r="A542" t="n">
        <x:v>3096</x:v>
      </x:c>
      <x:c r="B542" t="str">
        <x:v>2024-08</x:v>
      </x:c>
      <x:c r="C542" t="str">
        <x:v>Salaried</x:v>
      </x:c>
      <x:c r="D542" t="str">
        <x:v>Group A</x:v>
      </x:c>
      <x:c r="E542" s="26" t="n">
        <x:v>7799.42</x:v>
      </x:c>
      <x:c r="F542" t="n">
        <x:v>0</x:v>
      </x:c>
      <x:c r="G542" s="25" t="n">
        <x:v>0.105686</x:v>
      </x:c>
      <x:c r="H542" t="n">
        <x:f>IF(G542&lt;$B$6,1,0)</x:f>
        <x:v>1</x:v>
      </x:c>
      <x:c r="I542" s="26" t="n">
        <x:f>H542*IF(F542=0,E542*$B$7,-E542*$B$8)</x:f>
        <x:v>935.9304</x:v>
      </x:c>
    </x:row>
    <x:row r="543">
      <x:c r="A543" t="n">
        <x:v>3137</x:v>
      </x:c>
      <x:c r="B543" t="str">
        <x:v>2024-08</x:v>
      </x:c>
      <x:c r="C543" t="str">
        <x:v>Contract</x:v>
      </x:c>
      <x:c r="D543" t="str">
        <x:v>Group B</x:v>
      </x:c>
      <x:c r="E543" s="26" t="n">
        <x:v>15830.72</x:v>
      </x:c>
      <x:c r="F543" t="n">
        <x:v>0</x:v>
      </x:c>
      <x:c r="G543" s="25" t="n">
        <x:v>0.289991</x:v>
      </x:c>
      <x:c r="H543" t="n">
        <x:f>IF(G543&lt;$B$6,1,0)</x:f>
        <x:v>0</x:v>
      </x:c>
      <x:c r="I543" s="26" t="n">
        <x:f>H543*IF(F543=0,E543*$B$7,-E543*$B$8)</x:f>
        <x:v>0</x:v>
      </x:c>
    </x:row>
    <x:row r="544">
      <x:c r="A544" t="n">
        <x:v>3154</x:v>
      </x:c>
      <x:c r="B544" t="str">
        <x:v>2024-08</x:v>
      </x:c>
      <x:c r="C544" t="str">
        <x:v>Salaried</x:v>
      </x:c>
      <x:c r="D544" t="str">
        <x:v>Group A</x:v>
      </x:c>
      <x:c r="E544" s="26" t="n">
        <x:v>50781.91</x:v>
      </x:c>
      <x:c r="F544" t="n">
        <x:v>1</x:v>
      </x:c>
      <x:c r="G544" s="25" t="n">
        <x:v>0.319216</x:v>
      </x:c>
      <x:c r="H544" t="n">
        <x:f>IF(G544&lt;$B$6,1,0)</x:f>
        <x:v>0</x:v>
      </x:c>
      <x:c r="I544" s="26" t="n">
        <x:f>H544*IF(F544=0,E544*$B$7,-E544*$B$8)</x:f>
        <x:v>0</x:v>
      </x:c>
    </x:row>
    <x:row r="545">
      <x:c r="A545" t="n">
        <x:v>3159</x:v>
      </x:c>
      <x:c r="B545" t="str">
        <x:v>2024-08</x:v>
      </x:c>
      <x:c r="C545" t="str">
        <x:v>Salaried</x:v>
      </x:c>
      <x:c r="D545" t="str">
        <x:v>Group B</x:v>
      </x:c>
      <x:c r="E545" s="26" t="n">
        <x:v>36673.04</x:v>
      </x:c>
      <x:c r="F545" t="n">
        <x:v>0</x:v>
      </x:c>
      <x:c r="G545" s="25" t="n">
        <x:v>0.265681</x:v>
      </x:c>
      <x:c r="H545" t="n">
        <x:f>IF(G545&lt;$B$6,1,0)</x:f>
        <x:v>0</x:v>
      </x:c>
      <x:c r="I545" s="26" t="n">
        <x:f>H545*IF(F545=0,E545*$B$7,-E545*$B$8)</x:f>
        <x:v>0</x:v>
      </x:c>
    </x:row>
    <x:row r="546">
      <x:c r="A546" t="n">
        <x:v>3174</x:v>
      </x:c>
      <x:c r="B546" t="str">
        <x:v>2024-08</x:v>
      </x:c>
      <x:c r="C546" t="str">
        <x:v>Salaried</x:v>
      </x:c>
      <x:c r="D546" t="str">
        <x:v>Group A</x:v>
      </x:c>
      <x:c r="E546" s="26" t="n">
        <x:v>23364.03</x:v>
      </x:c>
      <x:c r="F546" t="n">
        <x:v>0</x:v>
      </x:c>
      <x:c r="G546" s="25" t="n">
        <x:v>0.443634</x:v>
      </x:c>
      <x:c r="H546" t="n">
        <x:f>IF(G546&lt;$B$6,1,0)</x:f>
        <x:v>0</x:v>
      </x:c>
      <x:c r="I546" s="26" t="n">
        <x:f>H546*IF(F546=0,E546*$B$7,-E546*$B$8)</x:f>
        <x:v>0</x:v>
      </x:c>
    </x:row>
    <x:row r="547">
      <x:c r="A547" t="n">
        <x:v>3195</x:v>
      </x:c>
      <x:c r="B547" t="str">
        <x:v>2024-08</x:v>
      </x:c>
      <x:c r="C547" t="str">
        <x:v>Salaried</x:v>
      </x:c>
      <x:c r="D547" t="str">
        <x:v>Group A</x:v>
      </x:c>
      <x:c r="E547" s="26" t="n">
        <x:v>10123.85</x:v>
      </x:c>
      <x:c r="F547" t="n">
        <x:v>0</x:v>
      </x:c>
      <x:c r="G547" s="25" t="n">
        <x:v>0.016763</x:v>
      </x:c>
      <x:c r="H547" t="n">
        <x:f>IF(G547&lt;$B$6,1,0)</x:f>
        <x:v>1</x:v>
      </x:c>
      <x:c r="I547" s="26" t="n">
        <x:f>H547*IF(F547=0,E547*$B$7,-E547*$B$8)</x:f>
        <x:v>1214.862</x:v>
      </x:c>
    </x:row>
    <x:row r="548">
      <x:c r="A548" t="n">
        <x:v>3286</x:v>
      </x:c>
      <x:c r="B548" t="str">
        <x:v>2024-08</x:v>
      </x:c>
      <x:c r="C548" t="str">
        <x:v>Salaried</x:v>
      </x:c>
      <x:c r="D548" t="str">
        <x:v>Group A</x:v>
      </x:c>
      <x:c r="E548" s="26" t="n">
        <x:v>13319.67</x:v>
      </x:c>
      <x:c r="F548" t="n">
        <x:v>0</x:v>
      </x:c>
      <x:c r="G548" s="25" t="n">
        <x:v>0.204286</x:v>
      </x:c>
      <x:c r="H548" t="n">
        <x:f>IF(G548&lt;$B$6,1,0)</x:f>
        <x:v>0</x:v>
      </x:c>
      <x:c r="I548" s="26" t="n">
        <x:f>H548*IF(F548=0,E548*$B$7,-E548*$B$8)</x:f>
        <x:v>0</x:v>
      </x:c>
    </x:row>
    <x:row r="549">
      <x:c r="A549" t="n">
        <x:v>3334</x:v>
      </x:c>
      <x:c r="B549" t="str">
        <x:v>2024-08</x:v>
      </x:c>
      <x:c r="C549" t="str">
        <x:v>Salaried</x:v>
      </x:c>
      <x:c r="D549" t="str">
        <x:v>Group B</x:v>
      </x:c>
      <x:c r="E549" s="26" t="n">
        <x:v>3089.17</x:v>
      </x:c>
      <x:c r="F549" t="n">
        <x:v>1</x:v>
      </x:c>
      <x:c r="G549" s="25" t="n">
        <x:v>0.573909</x:v>
      </x:c>
      <x:c r="H549" t="n">
        <x:f>IF(G549&lt;$B$6,1,0)</x:f>
        <x:v>0</x:v>
      </x:c>
      <x:c r="I549" s="26" t="n">
        <x:f>H549*IF(F549=0,E549*$B$7,-E549*$B$8)</x:f>
        <x:v>0</x:v>
      </x:c>
    </x:row>
    <x:row r="550">
      <x:c r="A550" t="n">
        <x:v>3343</x:v>
      </x:c>
      <x:c r="B550" t="str">
        <x:v>2024-08</x:v>
      </x:c>
      <x:c r="C550" t="str">
        <x:v>Salaried</x:v>
      </x:c>
      <x:c r="D550" t="str">
        <x:v>Group B</x:v>
      </x:c>
      <x:c r="E550" s="26" t="n">
        <x:v>6581.33</x:v>
      </x:c>
      <x:c r="F550" t="n">
        <x:v>1</x:v>
      </x:c>
      <x:c r="G550" s="25" t="n">
        <x:v>0.48601</x:v>
      </x:c>
      <x:c r="H550" t="n">
        <x:f>IF(G550&lt;$B$6,1,0)</x:f>
        <x:v>0</x:v>
      </x:c>
      <x:c r="I550" s="26" t="n">
        <x:f>H550*IF(F550=0,E550*$B$7,-E550*$B$8)</x:f>
        <x:v>0</x:v>
      </x:c>
    </x:row>
    <x:row r="551">
      <x:c r="A551" t="n">
        <x:v>3357</x:v>
      </x:c>
      <x:c r="B551" t="str">
        <x:v>2024-08</x:v>
      </x:c>
      <x:c r="C551" t="str">
        <x:v>Salaried</x:v>
      </x:c>
      <x:c r="D551" t="str">
        <x:v>Group A</x:v>
      </x:c>
      <x:c r="E551" s="26" t="n">
        <x:v>16280.14</x:v>
      </x:c>
      <x:c r="F551" t="n">
        <x:v>0</x:v>
      </x:c>
      <x:c r="G551" s="25" t="n">
        <x:v>0.10441</x:v>
      </x:c>
      <x:c r="H551" t="n">
        <x:f>IF(G551&lt;$B$6,1,0)</x:f>
        <x:v>1</x:v>
      </x:c>
      <x:c r="I551" s="26" t="n">
        <x:f>H551*IF(F551=0,E551*$B$7,-E551*$B$8)</x:f>
        <x:v>1953.6167999999998</x:v>
      </x:c>
    </x:row>
    <x:row r="552">
      <x:c r="A552" t="n">
        <x:v>3358</x:v>
      </x:c>
      <x:c r="B552" t="str">
        <x:v>2024-08</x:v>
      </x:c>
      <x:c r="C552" t="str">
        <x:v>Self employed</x:v>
      </x:c>
      <x:c r="D552" t="str">
        <x:v>Group B</x:v>
      </x:c>
      <x:c r="E552" s="26" t="n">
        <x:v>15501.03</x:v>
      </x:c>
      <x:c r="F552" t="n">
        <x:v>0</x:v>
      </x:c>
      <x:c r="G552" s="25" t="n">
        <x:v>0.082361</x:v>
      </x:c>
      <x:c r="H552" t="n">
        <x:f>IF(G552&lt;$B$6,1,0)</x:f>
        <x:v>1</x:v>
      </x:c>
      <x:c r="I552" s="26" t="n">
        <x:f>H552*IF(F552=0,E552*$B$7,-E552*$B$8)</x:f>
        <x:v>1860.1236</x:v>
      </x:c>
    </x:row>
    <x:row r="553">
      <x:c r="A553" t="n">
        <x:v>3377</x:v>
      </x:c>
      <x:c r="B553" t="str">
        <x:v>2024-08</x:v>
      </x:c>
      <x:c r="C553" t="str">
        <x:v>Contract</x:v>
      </x:c>
      <x:c r="D553" t="str">
        <x:v>Group A</x:v>
      </x:c>
      <x:c r="E553" s="26" t="n">
        <x:v>8370.74</x:v>
      </x:c>
      <x:c r="F553" t="n">
        <x:v>0</x:v>
      </x:c>
      <x:c r="G553" s="25" t="n">
        <x:v>0.491348</x:v>
      </x:c>
      <x:c r="H553" t="n">
        <x:f>IF(G553&lt;$B$6,1,0)</x:f>
        <x:v>0</x:v>
      </x:c>
      <x:c r="I553" s="26" t="n">
        <x:f>H553*IF(F553=0,E553*$B$7,-E553*$B$8)</x:f>
        <x:v>0</x:v>
      </x:c>
    </x:row>
    <x:row r="554">
      <x:c r="A554" t="n">
        <x:v>3386</x:v>
      </x:c>
      <x:c r="B554" t="str">
        <x:v>2024-08</x:v>
      </x:c>
      <x:c r="C554" t="str">
        <x:v>Self employed</x:v>
      </x:c>
      <x:c r="D554" t="str">
        <x:v>Group A</x:v>
      </x:c>
      <x:c r="E554" s="26" t="n">
        <x:v>27005.69</x:v>
      </x:c>
      <x:c r="F554" t="n">
        <x:v>0</x:v>
      </x:c>
      <x:c r="G554" s="25" t="n">
        <x:v>0.200995</x:v>
      </x:c>
      <x:c r="H554" t="n">
        <x:f>IF(G554&lt;$B$6,1,0)</x:f>
        <x:v>0</x:v>
      </x:c>
      <x:c r="I554" s="26" t="n">
        <x:f>H554*IF(F554=0,E554*$B$7,-E554*$B$8)</x:f>
        <x:v>0</x:v>
      </x:c>
    </x:row>
    <x:row r="555">
      <x:c r="A555" t="n">
        <x:v>3420</x:v>
      </x:c>
      <x:c r="B555" t="str">
        <x:v>2024-08</x:v>
      </x:c>
      <x:c r="C555" t="str">
        <x:v>Self employed</x:v>
      </x:c>
      <x:c r="D555" t="str">
        <x:v>Group A</x:v>
      </x:c>
      <x:c r="E555" s="26" t="n">
        <x:v>8899.19</x:v>
      </x:c>
      <x:c r="F555" t="n">
        <x:v>0</x:v>
      </x:c>
      <x:c r="G555" s="25" t="n">
        <x:v>0.079207</x:v>
      </x:c>
      <x:c r="H555" t="n">
        <x:f>IF(G555&lt;$B$6,1,0)</x:f>
        <x:v>1</x:v>
      </x:c>
      <x:c r="I555" s="26" t="n">
        <x:f>H555*IF(F555=0,E555*$B$7,-E555*$B$8)</x:f>
        <x:v>1067.9028</x:v>
      </x:c>
    </x:row>
    <x:row r="556">
      <x:c r="A556" t="n">
        <x:v>3424</x:v>
      </x:c>
      <x:c r="B556" t="str">
        <x:v>2024-08</x:v>
      </x:c>
      <x:c r="C556" t="str">
        <x:v>Contract</x:v>
      </x:c>
      <x:c r="D556" t="str">
        <x:v>Group A</x:v>
      </x:c>
      <x:c r="E556" s="26" t="n">
        <x:v>15317.53</x:v>
      </x:c>
      <x:c r="F556" t="n">
        <x:v>0</x:v>
      </x:c>
      <x:c r="G556" s="25" t="n">
        <x:v>0.447984</x:v>
      </x:c>
      <x:c r="H556" t="n">
        <x:f>IF(G556&lt;$B$6,1,0)</x:f>
        <x:v>0</x:v>
      </x:c>
      <x:c r="I556" s="26" t="n">
        <x:f>H556*IF(F556=0,E556*$B$7,-E556*$B$8)</x:f>
        <x:v>0</x:v>
      </x:c>
    </x:row>
    <x:row r="557">
      <x:c r="A557" t="n">
        <x:v>3436</x:v>
      </x:c>
      <x:c r="B557" t="str">
        <x:v>2024-08</x:v>
      </x:c>
      <x:c r="C557" t="str">
        <x:v>Salaried</x:v>
      </x:c>
      <x:c r="D557" t="str">
        <x:v>Group B</x:v>
      </x:c>
      <x:c r="E557" s="26" t="n">
        <x:v>11318.07</x:v>
      </x:c>
      <x:c r="F557" t="n">
        <x:v>0</x:v>
      </x:c>
      <x:c r="G557" s="25" t="n">
        <x:v>0.019794</x:v>
      </x:c>
      <x:c r="H557" t="n">
        <x:f>IF(G557&lt;$B$6,1,0)</x:f>
        <x:v>1</x:v>
      </x:c>
      <x:c r="I557" s="26" t="n">
        <x:f>H557*IF(F557=0,E557*$B$7,-E557*$B$8)</x:f>
        <x:v>1358.1684</x:v>
      </x:c>
    </x:row>
    <x:row r="558">
      <x:c r="A558" t="n">
        <x:v>3458</x:v>
      </x:c>
      <x:c r="B558" t="str">
        <x:v>2024-08</x:v>
      </x:c>
      <x:c r="C558" t="str">
        <x:v>Self employed</x:v>
      </x:c>
      <x:c r="D558" t="str">
        <x:v>Group B</x:v>
      </x:c>
      <x:c r="E558" s="26" t="n">
        <x:v>8209.87</x:v>
      </x:c>
      <x:c r="F558" t="n">
        <x:v>0</x:v>
      </x:c>
      <x:c r="G558" s="25" t="n">
        <x:v>0.136514</x:v>
      </x:c>
      <x:c r="H558" t="n">
        <x:f>IF(G558&lt;$B$6,1,0)</x:f>
        <x:v>1</x:v>
      </x:c>
      <x:c r="I558" s="26" t="n">
        <x:f>H558*IF(F558=0,E558*$B$7,-E558*$B$8)</x:f>
        <x:v>985.1844000000001</x:v>
      </x:c>
    </x:row>
    <x:row r="559">
      <x:c r="A559" t="n">
        <x:v>3516</x:v>
      </x:c>
      <x:c r="B559" t="str">
        <x:v>2024-08</x:v>
      </x:c>
      <x:c r="C559" t="str">
        <x:v>Salaried</x:v>
      </x:c>
      <x:c r="D559" t="str">
        <x:v>Group B</x:v>
      </x:c>
      <x:c r="E559" s="26" t="n">
        <x:v>22978.42</x:v>
      </x:c>
      <x:c r="F559" t="n">
        <x:v>0</x:v>
      </x:c>
      <x:c r="G559" s="25" t="n">
        <x:v>0.085981</x:v>
      </x:c>
      <x:c r="H559" t="n">
        <x:f>IF(G559&lt;$B$6,1,0)</x:f>
        <x:v>1</x:v>
      </x:c>
      <x:c r="I559" s="26" t="n">
        <x:f>H559*IF(F559=0,E559*$B$7,-E559*$B$8)</x:f>
        <x:v>2757.4103999999998</x:v>
      </x:c>
    </x:row>
    <x:row r="560">
      <x:c r="A560" t="n">
        <x:v>3546</x:v>
      </x:c>
      <x:c r="B560" t="str">
        <x:v>2024-08</x:v>
      </x:c>
      <x:c r="C560" t="str">
        <x:v>Salaried</x:v>
      </x:c>
      <x:c r="D560" t="str">
        <x:v>Group B</x:v>
      </x:c>
      <x:c r="E560" s="26" t="n">
        <x:v>7911.67</x:v>
      </x:c>
      <x:c r="F560" t="n">
        <x:v>1</x:v>
      </x:c>
      <x:c r="G560" s="25" t="n">
        <x:v>0.786667</x:v>
      </x:c>
      <x:c r="H560" t="n">
        <x:f>IF(G560&lt;$B$6,1,0)</x:f>
        <x:v>0</x:v>
      </x:c>
      <x:c r="I560" s="26" t="n">
        <x:f>H560*IF(F560=0,E560*$B$7,-E560*$B$8)</x:f>
        <x:v>0</x:v>
      </x:c>
    </x:row>
    <x:row r="561">
      <x:c r="A561" t="n">
        <x:v>3547</x:v>
      </x:c>
      <x:c r="B561" t="str">
        <x:v>2024-08</x:v>
      </x:c>
      <x:c r="C561" t="str">
        <x:v>Contract</x:v>
      </x:c>
      <x:c r="D561" t="str">
        <x:v>Group A</x:v>
      </x:c>
      <x:c r="E561" s="26" t="n">
        <x:v>11886.51</x:v>
      </x:c>
      <x:c r="F561" t="n">
        <x:v>0</x:v>
      </x:c>
      <x:c r="G561" s="25" t="n">
        <x:v>0.148971</x:v>
      </x:c>
      <x:c r="H561" t="n">
        <x:f>IF(G561&lt;$B$6,1,0)</x:f>
        <x:v>1</x:v>
      </x:c>
      <x:c r="I561" s="26" t="n">
        <x:f>H561*IF(F561=0,E561*$B$7,-E561*$B$8)</x:f>
        <x:v>1426.3812</x:v>
      </x:c>
    </x:row>
    <x:row r="562">
      <x:c r="A562" t="n">
        <x:v>3600</x:v>
      </x:c>
      <x:c r="B562" t="str">
        <x:v>2024-08</x:v>
      </x:c>
      <x:c r="C562" t="str">
        <x:v>Salaried</x:v>
      </x:c>
      <x:c r="D562" t="str">
        <x:v>Group B</x:v>
      </x:c>
      <x:c r="E562" s="26" t="n">
        <x:v>44919.79</x:v>
      </x:c>
      <x:c r="F562" t="n">
        <x:v>1</x:v>
      </x:c>
      <x:c r="G562" s="25" t="n">
        <x:v>0.178571</x:v>
      </x:c>
      <x:c r="H562" t="n">
        <x:f>IF(G562&lt;$B$6,1,0)</x:f>
        <x:v>0</x:v>
      </x:c>
      <x:c r="I562" s="26" t="n">
        <x:f>H562*IF(F562=0,E562*$B$7,-E562*$B$8)</x:f>
        <x:v>0</x:v>
      </x:c>
    </x:row>
    <x:row r="563">
      <x:c r="A563" t="n">
        <x:v>3617</x:v>
      </x:c>
      <x:c r="B563" t="str">
        <x:v>2024-08</x:v>
      </x:c>
      <x:c r="C563" t="str">
        <x:v>Salaried</x:v>
      </x:c>
      <x:c r="D563" t="str">
        <x:v>Group B</x:v>
      </x:c>
      <x:c r="E563" s="26" t="n">
        <x:v>7997.13</x:v>
      </x:c>
      <x:c r="F563" t="n">
        <x:v>0</x:v>
      </x:c>
      <x:c r="G563" s="25" t="n">
        <x:v>0.050894</x:v>
      </x:c>
      <x:c r="H563" t="n">
        <x:f>IF(G563&lt;$B$6,1,0)</x:f>
        <x:v>1</x:v>
      </x:c>
      <x:c r="I563" s="26" t="n">
        <x:f>H563*IF(F563=0,E563*$B$7,-E563*$B$8)</x:f>
        <x:v>959.6555999999999</x:v>
      </x:c>
    </x:row>
    <x:row r="564">
      <x:c r="A564" t="n">
        <x:v>3622</x:v>
      </x:c>
      <x:c r="B564" t="str">
        <x:v>2024-08</x:v>
      </x:c>
      <x:c r="C564" t="str">
        <x:v>Self employed</x:v>
      </x:c>
      <x:c r="D564" t="str">
        <x:v>Group A</x:v>
      </x:c>
      <x:c r="E564" s="26" t="n">
        <x:v>12631.87</x:v>
      </x:c>
      <x:c r="F564" t="n">
        <x:v>0</x:v>
      </x:c>
      <x:c r="G564" s="25" t="n">
        <x:v>0.059296</x:v>
      </x:c>
      <x:c r="H564" t="n">
        <x:f>IF(G564&lt;$B$6,1,0)</x:f>
        <x:v>1</x:v>
      </x:c>
      <x:c r="I564" s="26" t="n">
        <x:f>H564*IF(F564=0,E564*$B$7,-E564*$B$8)</x:f>
        <x:v>1515.8244</x:v>
      </x:c>
    </x:row>
    <x:row r="565">
      <x:c r="A565" t="n">
        <x:v>3698</x:v>
      </x:c>
      <x:c r="B565" t="str">
        <x:v>2024-08</x:v>
      </x:c>
      <x:c r="C565" t="str">
        <x:v>Salaried</x:v>
      </x:c>
      <x:c r="D565" t="str">
        <x:v>Group A</x:v>
      </x:c>
      <x:c r="E565" s="26" t="n">
        <x:v>5066.82</x:v>
      </x:c>
      <x:c r="F565" t="n">
        <x:v>0</x:v>
      </x:c>
      <x:c r="G565" s="25" t="n">
        <x:v>0.190041</x:v>
      </x:c>
      <x:c r="H565" t="n">
        <x:f>IF(G565&lt;$B$6,1,0)</x:f>
        <x:v>0</x:v>
      </x:c>
      <x:c r="I565" s="26" t="n">
        <x:f>H565*IF(F565=0,E565*$B$7,-E565*$B$8)</x:f>
        <x:v>0</x:v>
      </x:c>
    </x:row>
    <x:row r="566">
      <x:c r="A566" t="n">
        <x:v>3748</x:v>
      </x:c>
      <x:c r="B566" t="str">
        <x:v>2024-08</x:v>
      </x:c>
      <x:c r="C566" t="str">
        <x:v>Salaried</x:v>
      </x:c>
      <x:c r="D566" t="str">
        <x:v>Group A</x:v>
      </x:c>
      <x:c r="E566" s="26" t="n">
        <x:v>22195.02</x:v>
      </x:c>
      <x:c r="F566" t="n">
        <x:v>0</x:v>
      </x:c>
      <x:c r="G566" s="25" t="n">
        <x:v>0.103491</x:v>
      </x:c>
      <x:c r="H566" t="n">
        <x:f>IF(G566&lt;$B$6,1,0)</x:f>
        <x:v>1</x:v>
      </x:c>
      <x:c r="I566" s="26" t="n">
        <x:f>H566*IF(F566=0,E566*$B$7,-E566*$B$8)</x:f>
        <x:v>2663.4024</x:v>
      </x:c>
    </x:row>
    <x:row r="567">
      <x:c r="A567" t="n">
        <x:v>3775</x:v>
      </x:c>
      <x:c r="B567" t="str">
        <x:v>2024-08</x:v>
      </x:c>
      <x:c r="C567" t="str">
        <x:v>Salaried</x:v>
      </x:c>
      <x:c r="D567" t="str">
        <x:v>Group B</x:v>
      </x:c>
      <x:c r="E567" s="26" t="n">
        <x:v>48717.56</x:v>
      </x:c>
      <x:c r="F567" t="n">
        <x:v>0</x:v>
      </x:c>
      <x:c r="G567" s="25" t="n">
        <x:v>0.22078</x:v>
      </x:c>
      <x:c r="H567" t="n">
        <x:f>IF(G567&lt;$B$6,1,0)</x:f>
        <x:v>0</x:v>
      </x:c>
      <x:c r="I567" s="26" t="n">
        <x:f>H567*IF(F567=0,E567*$B$7,-E567*$B$8)</x:f>
        <x:v>0</x:v>
      </x:c>
    </x:row>
    <x:row r="568">
      <x:c r="A568" t="n">
        <x:v>3807</x:v>
      </x:c>
      <x:c r="B568" t="str">
        <x:v>2024-08</x:v>
      </x:c>
      <x:c r="C568" t="str">
        <x:v>Contract</x:v>
      </x:c>
      <x:c r="D568" t="str">
        <x:v>Group A</x:v>
      </x:c>
      <x:c r="E568" s="26" t="n">
        <x:v>7563.61</x:v>
      </x:c>
      <x:c r="F568" t="n">
        <x:v>0</x:v>
      </x:c>
      <x:c r="G568" s="25" t="n">
        <x:v>0.223133</x:v>
      </x:c>
      <x:c r="H568" t="n">
        <x:f>IF(G568&lt;$B$6,1,0)</x:f>
        <x:v>0</x:v>
      </x:c>
      <x:c r="I568" s="26" t="n">
        <x:f>H568*IF(F568=0,E568*$B$7,-E568*$B$8)</x:f>
        <x:v>0</x:v>
      </x:c>
    </x:row>
    <x:row r="569">
      <x:c r="A569" t="n">
        <x:v>3845</x:v>
      </x:c>
      <x:c r="B569" t="str">
        <x:v>2024-08</x:v>
      </x:c>
      <x:c r="C569" t="str">
        <x:v>Self employed</x:v>
      </x:c>
      <x:c r="D569" t="str">
        <x:v>Group B</x:v>
      </x:c>
      <x:c r="E569" s="26" t="n">
        <x:v>44772.66</x:v>
      </x:c>
      <x:c r="F569" t="n">
        <x:v>0</x:v>
      </x:c>
      <x:c r="G569" s="25" t="n">
        <x:v>0.453092</x:v>
      </x:c>
      <x:c r="H569" t="n">
        <x:f>IF(G569&lt;$B$6,1,0)</x:f>
        <x:v>0</x:v>
      </x:c>
      <x:c r="I569" s="26" t="n">
        <x:f>H569*IF(F569=0,E569*$B$7,-E569*$B$8)</x:f>
        <x:v>0</x:v>
      </x:c>
    </x:row>
    <x:row r="570">
      <x:c r="A570" t="n">
        <x:v>3934</x:v>
      </x:c>
      <x:c r="B570" t="str">
        <x:v>2024-08</x:v>
      </x:c>
      <x:c r="C570" t="str">
        <x:v>Salaried</x:v>
      </x:c>
      <x:c r="D570" t="str">
        <x:v>Group B</x:v>
      </x:c>
      <x:c r="E570" s="26" t="n">
        <x:v>46021.93</x:v>
      </x:c>
      <x:c r="F570" t="n">
        <x:v>0</x:v>
      </x:c>
      <x:c r="G570" s="25" t="n">
        <x:v>0.106778</x:v>
      </x:c>
      <x:c r="H570" t="n">
        <x:f>IF(G570&lt;$B$6,1,0)</x:f>
        <x:v>1</x:v>
      </x:c>
      <x:c r="I570" s="26" t="n">
        <x:f>H570*IF(F570=0,E570*$B$7,-E570*$B$8)</x:f>
        <x:v>5522.6316</x:v>
      </x:c>
    </x:row>
    <x:row r="571">
      <x:c r="A571" t="n">
        <x:v>3996</x:v>
      </x:c>
      <x:c r="B571" t="str">
        <x:v>2024-08</x:v>
      </x:c>
      <x:c r="C571" t="str">
        <x:v>Contract</x:v>
      </x:c>
      <x:c r="D571" t="str">
        <x:v>Group B</x:v>
      </x:c>
      <x:c r="E571" s="26" t="n">
        <x:v>19730.65</x:v>
      </x:c>
      <x:c r="F571" t="n">
        <x:v>0</x:v>
      </x:c>
      <x:c r="G571" s="25" t="n">
        <x:v>0.287185</x:v>
      </x:c>
      <x:c r="H571" t="n">
        <x:f>IF(G571&lt;$B$6,1,0)</x:f>
        <x:v>0</x:v>
      </x:c>
      <x:c r="I571" s="26" t="n">
        <x:f>H571*IF(F571=0,E571*$B$7,-E571*$B$8)</x:f>
        <x:v>0</x:v>
      </x:c>
    </x:row>
    <x:row r="572">
      <x:c r="A572" t="n">
        <x:v>4024</x:v>
      </x:c>
      <x:c r="B572" t="str">
        <x:v>2024-08</x:v>
      </x:c>
      <x:c r="C572" t="str">
        <x:v>Salaried</x:v>
      </x:c>
      <x:c r="D572" t="str">
        <x:v>Group B</x:v>
      </x:c>
      <x:c r="E572" s="26" t="n">
        <x:v>40027</x:v>
      </x:c>
      <x:c r="F572" t="n">
        <x:v>0</x:v>
      </x:c>
      <x:c r="G572" s="25" t="n">
        <x:v>0.045151</x:v>
      </x:c>
      <x:c r="H572" t="n">
        <x:f>IF(G572&lt;$B$6,1,0)</x:f>
        <x:v>1</x:v>
      </x:c>
      <x:c r="I572" s="26" t="n">
        <x:f>H572*IF(F572=0,E572*$B$7,-E572*$B$8)</x:f>
        <x:v>4803.24</x:v>
      </x:c>
    </x:row>
    <x:row r="573">
      <x:c r="A573" t="n">
        <x:v>4046</x:v>
      </x:c>
      <x:c r="B573" t="str">
        <x:v>2024-08</x:v>
      </x:c>
      <x:c r="C573" t="str">
        <x:v>Contract</x:v>
      </x:c>
      <x:c r="D573" t="str">
        <x:v>Group A</x:v>
      </x:c>
      <x:c r="E573" s="26" t="n">
        <x:v>4982.06</x:v>
      </x:c>
      <x:c r="F573" t="n">
        <x:v>1</x:v>
      </x:c>
      <x:c r="G573" s="25" t="n">
        <x:v>0.653624</x:v>
      </x:c>
      <x:c r="H573" t="n">
        <x:f>IF(G573&lt;$B$6,1,0)</x:f>
        <x:v>0</x:v>
      </x:c>
      <x:c r="I573" s="26" t="n">
        <x:f>H573*IF(F573=0,E573*$B$7,-E573*$B$8)</x:f>
        <x:v>0</x:v>
      </x:c>
    </x:row>
    <x:row r="574">
      <x:c r="A574" t="n">
        <x:v>4099</x:v>
      </x:c>
      <x:c r="B574" t="str">
        <x:v>2024-08</x:v>
      </x:c>
      <x:c r="C574" t="str">
        <x:v>Salaried</x:v>
      </x:c>
      <x:c r="D574" t="str">
        <x:v>Group B</x:v>
      </x:c>
      <x:c r="E574" s="26" t="n">
        <x:v>13149.03</x:v>
      </x:c>
      <x:c r="F574" t="n">
        <x:v>0</x:v>
      </x:c>
      <x:c r="G574" s="25" t="n">
        <x:v>0.17123</x:v>
      </x:c>
      <x:c r="H574" t="n">
        <x:f>IF(G574&lt;$B$6,1,0)</x:f>
        <x:v>0</x:v>
      </x:c>
      <x:c r="I574" s="26" t="n">
        <x:f>H574*IF(F574=0,E574*$B$7,-E574*$B$8)</x:f>
        <x:v>0</x:v>
      </x:c>
    </x:row>
    <x:row r="575">
      <x:c r="A575" t="n">
        <x:v>4143</x:v>
      </x:c>
      <x:c r="B575" t="str">
        <x:v>2024-08</x:v>
      </x:c>
      <x:c r="C575" t="str">
        <x:v>Salaried</x:v>
      </x:c>
      <x:c r="D575" t="str">
        <x:v>Group A</x:v>
      </x:c>
      <x:c r="E575" s="26" t="n">
        <x:v>4930.37</x:v>
      </x:c>
      <x:c r="F575" t="n">
        <x:v>0</x:v>
      </x:c>
      <x:c r="G575" s="25" t="n">
        <x:v>0.251787</x:v>
      </x:c>
      <x:c r="H575" t="n">
        <x:f>IF(G575&lt;$B$6,1,0)</x:f>
        <x:v>0</x:v>
      </x:c>
      <x:c r="I575" s="26" t="n">
        <x:f>H575*IF(F575=0,E575*$B$7,-E575*$B$8)</x:f>
        <x:v>0</x:v>
      </x:c>
    </x:row>
    <x:row r="576">
      <x:c r="A576" t="n">
        <x:v>4158</x:v>
      </x:c>
      <x:c r="B576" t="str">
        <x:v>2024-08</x:v>
      </x:c>
      <x:c r="C576" t="str">
        <x:v>Salaried</x:v>
      </x:c>
      <x:c r="D576" t="str">
        <x:v>Group A</x:v>
      </x:c>
      <x:c r="E576" s="26" t="n">
        <x:v>7640.66</x:v>
      </x:c>
      <x:c r="F576" t="n">
        <x:v>0</x:v>
      </x:c>
      <x:c r="G576" s="25" t="n">
        <x:v>0.055611</x:v>
      </x:c>
      <x:c r="H576" t="n">
        <x:f>IF(G576&lt;$B$6,1,0)</x:f>
        <x:v>1</x:v>
      </x:c>
      <x:c r="I576" s="26" t="n">
        <x:f>H576*IF(F576=0,E576*$B$7,-E576*$B$8)</x:f>
        <x:v>916.8792</x:v>
      </x:c>
    </x:row>
    <x:row r="577">
      <x:c r="A577" t="n">
        <x:v>4162</x:v>
      </x:c>
      <x:c r="B577" t="str">
        <x:v>2024-08</x:v>
      </x:c>
      <x:c r="C577" t="str">
        <x:v>Salaried</x:v>
      </x:c>
      <x:c r="D577" t="str">
        <x:v>Group A</x:v>
      </x:c>
      <x:c r="E577" s="26" t="n">
        <x:v>11425.38</x:v>
      </x:c>
      <x:c r="F577" t="n">
        <x:v>0</x:v>
      </x:c>
      <x:c r="G577" s="25" t="n">
        <x:v>0.128613</x:v>
      </x:c>
      <x:c r="H577" t="n">
        <x:f>IF(G577&lt;$B$6,1,0)</x:f>
        <x:v>1</x:v>
      </x:c>
      <x:c r="I577" s="26" t="n">
        <x:f>H577*IF(F577=0,E577*$B$7,-E577*$B$8)</x:f>
        <x:v>1371.0456</x:v>
      </x:c>
    </x:row>
    <x:row r="578">
      <x:c r="A578" t="n">
        <x:v>4174</x:v>
      </x:c>
      <x:c r="B578" t="str">
        <x:v>2024-08</x:v>
      </x:c>
      <x:c r="C578" t="str">
        <x:v>Contract</x:v>
      </x:c>
      <x:c r="D578" t="str">
        <x:v>Group A</x:v>
      </x:c>
      <x:c r="E578" s="26" t="n">
        <x:v>11806.85</x:v>
      </x:c>
      <x:c r="F578" t="n">
        <x:v>1</x:v>
      </x:c>
      <x:c r="G578" s="25" t="n">
        <x:v>0.618169</x:v>
      </x:c>
      <x:c r="H578" t="n">
        <x:f>IF(G578&lt;$B$6,1,0)</x:f>
        <x:v>0</x:v>
      </x:c>
      <x:c r="I578" s="26" t="n">
        <x:f>H578*IF(F578=0,E578*$B$7,-E578*$B$8)</x:f>
        <x:v>0</x:v>
      </x:c>
    </x:row>
    <x:row r="579">
      <x:c r="A579" t="n">
        <x:v>4202</x:v>
      </x:c>
      <x:c r="B579" t="str">
        <x:v>2024-08</x:v>
      </x:c>
      <x:c r="C579" t="str">
        <x:v>Self employed</x:v>
      </x:c>
      <x:c r="D579" t="str">
        <x:v>Group B</x:v>
      </x:c>
      <x:c r="E579" s="26" t="n">
        <x:v>19597.79</x:v>
      </x:c>
      <x:c r="F579" t="n">
        <x:v>0</x:v>
      </x:c>
      <x:c r="G579" s="25" t="n">
        <x:v>0.162302</x:v>
      </x:c>
      <x:c r="H579" t="n">
        <x:f>IF(G579&lt;$B$6,1,0)</x:f>
        <x:v>0</x:v>
      </x:c>
      <x:c r="I579" s="26" t="n">
        <x:f>H579*IF(F579=0,E579*$B$7,-E579*$B$8)</x:f>
        <x:v>0</x:v>
      </x:c>
    </x:row>
    <x:row r="580">
      <x:c r="A580" t="n">
        <x:v>4217</x:v>
      </x:c>
      <x:c r="B580" t="str">
        <x:v>2024-08</x:v>
      </x:c>
      <x:c r="C580" t="str">
        <x:v>Contract</x:v>
      </x:c>
      <x:c r="D580" t="str">
        <x:v>Group A</x:v>
      </x:c>
      <x:c r="E580" s="26" t="n">
        <x:v>17347.49</x:v>
      </x:c>
      <x:c r="F580" t="n">
        <x:v>1</x:v>
      </x:c>
      <x:c r="G580" s="25" t="n">
        <x:v>0.355672</x:v>
      </x:c>
      <x:c r="H580" t="n">
        <x:f>IF(G580&lt;$B$6,1,0)</x:f>
        <x:v>0</x:v>
      </x:c>
      <x:c r="I580" s="26" t="n">
        <x:f>H580*IF(F580=0,E580*$B$7,-E580*$B$8)</x:f>
        <x:v>0</x:v>
      </x:c>
    </x:row>
    <x:row r="581">
      <x:c r="A581" t="n">
        <x:v>4229</x:v>
      </x:c>
      <x:c r="B581" t="str">
        <x:v>2024-08</x:v>
      </x:c>
      <x:c r="C581" t="str">
        <x:v>Salaried</x:v>
      </x:c>
      <x:c r="D581" t="str">
        <x:v>Group B</x:v>
      </x:c>
      <x:c r="E581" s="26" t="n">
        <x:v>15539.01</x:v>
      </x:c>
      <x:c r="F581" t="n">
        <x:v>1</x:v>
      </x:c>
      <x:c r="G581" s="25" t="n">
        <x:v>0.110357</x:v>
      </x:c>
      <x:c r="H581" t="n">
        <x:f>IF(G581&lt;$B$6,1,0)</x:f>
        <x:v>1</x:v>
      </x:c>
      <x:c r="I581" s="26" t="n">
        <x:f>H581*IF(F581=0,E581*$B$7,-E581*$B$8)</x:f>
        <x:v>-10100.3565</x:v>
      </x:c>
    </x:row>
    <x:row r="582">
      <x:c r="A582" t="n">
        <x:v>4296</x:v>
      </x:c>
      <x:c r="B582" t="str">
        <x:v>2024-08</x:v>
      </x:c>
      <x:c r="C582" t="str">
        <x:v>Salaried</x:v>
      </x:c>
      <x:c r="D582" t="str">
        <x:v>Group B</x:v>
      </x:c>
      <x:c r="E582" s="26" t="n">
        <x:v>15165.29</x:v>
      </x:c>
      <x:c r="F582" t="n">
        <x:v>0</x:v>
      </x:c>
      <x:c r="G582" s="25" t="n">
        <x:v>0.093289</x:v>
      </x:c>
      <x:c r="H582" t="n">
        <x:f>IF(G582&lt;$B$6,1,0)</x:f>
        <x:v>1</x:v>
      </x:c>
      <x:c r="I582" s="26" t="n">
        <x:f>H582*IF(F582=0,E582*$B$7,-E582*$B$8)</x:f>
        <x:v>1819.8348</x:v>
      </x:c>
    </x:row>
    <x:row r="583">
      <x:c r="A583" t="n">
        <x:v>4315</x:v>
      </x:c>
      <x:c r="B583" t="str">
        <x:v>2024-08</x:v>
      </x:c>
      <x:c r="C583" t="str">
        <x:v>Salaried</x:v>
      </x:c>
      <x:c r="D583" t="str">
        <x:v>Group A</x:v>
      </x:c>
      <x:c r="E583" s="26" t="n">
        <x:v>8938.89</x:v>
      </x:c>
      <x:c r="F583" t="n">
        <x:v>0</x:v>
      </x:c>
      <x:c r="G583" s="25" t="n">
        <x:v>0.120148</x:v>
      </x:c>
      <x:c r="H583" t="n">
        <x:f>IF(G583&lt;$B$6,1,0)</x:f>
        <x:v>1</x:v>
      </x:c>
      <x:c r="I583" s="26" t="n">
        <x:f>H583*IF(F583=0,E583*$B$7,-E583*$B$8)</x:f>
        <x:v>1072.6668</x:v>
      </x:c>
    </x:row>
    <x:row r="584">
      <x:c r="A584" t="n">
        <x:v>4329</x:v>
      </x:c>
      <x:c r="B584" t="str">
        <x:v>2024-08</x:v>
      </x:c>
      <x:c r="C584" t="str">
        <x:v>Salaried</x:v>
      </x:c>
      <x:c r="D584" t="str">
        <x:v>Group B</x:v>
      </x:c>
      <x:c r="E584" s="26" t="n">
        <x:v>17253.91</x:v>
      </x:c>
      <x:c r="F584" t="n">
        <x:v>0</x:v>
      </x:c>
      <x:c r="G584" s="25" t="n">
        <x:v>0.116174</x:v>
      </x:c>
      <x:c r="H584" t="n">
        <x:f>IF(G584&lt;$B$6,1,0)</x:f>
        <x:v>1</x:v>
      </x:c>
      <x:c r="I584" s="26" t="n">
        <x:f>H584*IF(F584=0,E584*$B$7,-E584*$B$8)</x:f>
        <x:v>2070.4692</x:v>
      </x:c>
    </x:row>
    <x:row r="585">
      <x:c r="A585" t="n">
        <x:v>4446</x:v>
      </x:c>
      <x:c r="B585" t="str">
        <x:v>2024-08</x:v>
      </x:c>
      <x:c r="C585" t="str">
        <x:v>Salaried</x:v>
      </x:c>
      <x:c r="D585" t="str">
        <x:v>Group B</x:v>
      </x:c>
      <x:c r="E585" s="26" t="n">
        <x:v>17664.22</x:v>
      </x:c>
      <x:c r="F585" t="n">
        <x:v>0</x:v>
      </x:c>
      <x:c r="G585" s="25" t="n">
        <x:v>0.151173</x:v>
      </x:c>
      <x:c r="H585" t="n">
        <x:f>IF(G585&lt;$B$6,1,0)</x:f>
        <x:v>1</x:v>
      </x:c>
      <x:c r="I585" s="26" t="n">
        <x:f>H585*IF(F585=0,E585*$B$7,-E585*$B$8)</x:f>
        <x:v>2119.7064</x:v>
      </x:c>
    </x:row>
    <x:row r="586">
      <x:c r="A586" t="n">
        <x:v>4466</x:v>
      </x:c>
      <x:c r="B586" t="str">
        <x:v>2024-08</x:v>
      </x:c>
      <x:c r="C586" t="str">
        <x:v>Self employed</x:v>
      </x:c>
      <x:c r="D586" t="str">
        <x:v>Group A</x:v>
      </x:c>
      <x:c r="E586" s="26" t="n">
        <x:v>11586.23</x:v>
      </x:c>
      <x:c r="F586" t="n">
        <x:v>1</x:v>
      </x:c>
      <x:c r="G586" s="25" t="n">
        <x:v>0.458409</x:v>
      </x:c>
      <x:c r="H586" t="n">
        <x:f>IF(G586&lt;$B$6,1,0)</x:f>
        <x:v>0</x:v>
      </x:c>
      <x:c r="I586" s="26" t="n">
        <x:f>H586*IF(F586=0,E586*$B$7,-E586*$B$8)</x:f>
        <x:v>0</x:v>
      </x:c>
    </x:row>
    <x:row r="587">
      <x:c r="A587" t="n">
        <x:v>4472</x:v>
      </x:c>
      <x:c r="B587" t="str">
        <x:v>2024-08</x:v>
      </x:c>
      <x:c r="C587" t="str">
        <x:v>Self employed</x:v>
      </x:c>
      <x:c r="D587" t="str">
        <x:v>Group A</x:v>
      </x:c>
      <x:c r="E587" s="26" t="n">
        <x:v>25820.2</x:v>
      </x:c>
      <x:c r="F587" t="n">
        <x:v>0</x:v>
      </x:c>
      <x:c r="G587" s="25" t="n">
        <x:v>0.290297</x:v>
      </x:c>
      <x:c r="H587" t="n">
        <x:f>IF(G587&lt;$B$6,1,0)</x:f>
        <x:v>0</x:v>
      </x:c>
      <x:c r="I587" s="26" t="n">
        <x:f>H587*IF(F587=0,E587*$B$7,-E587*$B$8)</x:f>
        <x:v>0</x:v>
      </x:c>
    </x:row>
    <x:row r="588">
      <x:c r="A588" t="n">
        <x:v>4479</x:v>
      </x:c>
      <x:c r="B588" t="str">
        <x:v>2024-08</x:v>
      </x:c>
      <x:c r="C588" t="str">
        <x:v>Salaried</x:v>
      </x:c>
      <x:c r="D588" t="str">
        <x:v>Group B</x:v>
      </x:c>
      <x:c r="E588" s="26" t="n">
        <x:v>9290.33</x:v>
      </x:c>
      <x:c r="F588" t="n">
        <x:v>1</x:v>
      </x:c>
      <x:c r="G588" s="25" t="n">
        <x:v>0.074168</x:v>
      </x:c>
      <x:c r="H588" t="n">
        <x:f>IF(G588&lt;$B$6,1,0)</x:f>
        <x:v>1</x:v>
      </x:c>
      <x:c r="I588" s="26" t="n">
        <x:f>H588*IF(F588=0,E588*$B$7,-E588*$B$8)</x:f>
        <x:v>-6038.7145</x:v>
      </x:c>
    </x:row>
    <x:row r="589">
      <x:c r="A589" t="n">
        <x:v>4484</x:v>
      </x:c>
      <x:c r="B589" t="str">
        <x:v>2024-08</x:v>
      </x:c>
      <x:c r="C589" t="str">
        <x:v>Salaried</x:v>
      </x:c>
      <x:c r="D589" t="str">
        <x:v>Group A</x:v>
      </x:c>
      <x:c r="E589" s="26" t="n">
        <x:v>14802.71</x:v>
      </x:c>
      <x:c r="F589" t="n">
        <x:v>0</x:v>
      </x:c>
      <x:c r="G589" s="25" t="n">
        <x:v>0.206119</x:v>
      </x:c>
      <x:c r="H589" t="n">
        <x:f>IF(G589&lt;$B$6,1,0)</x:f>
        <x:v>0</x:v>
      </x:c>
      <x:c r="I589" s="26" t="n">
        <x:f>H589*IF(F589=0,E589*$B$7,-E589*$B$8)</x:f>
        <x:v>0</x:v>
      </x:c>
    </x:row>
    <x:row r="590">
      <x:c r="A590" t="n">
        <x:v>4487</x:v>
      </x:c>
      <x:c r="B590" t="str">
        <x:v>2024-08</x:v>
      </x:c>
      <x:c r="C590" t="str">
        <x:v>Salaried</x:v>
      </x:c>
      <x:c r="D590" t="str">
        <x:v>Group A</x:v>
      </x:c>
      <x:c r="E590" s="26" t="n">
        <x:v>17998.51</x:v>
      </x:c>
      <x:c r="F590" t="n">
        <x:v>1</x:v>
      </x:c>
      <x:c r="G590" s="25" t="n">
        <x:v>0.174611</x:v>
      </x:c>
      <x:c r="H590" t="n">
        <x:f>IF(G590&lt;$B$6,1,0)</x:f>
        <x:v>0</x:v>
      </x:c>
      <x:c r="I590" s="26" t="n">
        <x:f>H590*IF(F590=0,E590*$B$7,-E590*$B$8)</x:f>
        <x:v>0</x:v>
      </x:c>
    </x:row>
    <x:row r="591">
      <x:c r="A591" t="n">
        <x:v>4491</x:v>
      </x:c>
      <x:c r="B591" t="str">
        <x:v>2024-08</x:v>
      </x:c>
      <x:c r="C591" t="str">
        <x:v>Contract</x:v>
      </x:c>
      <x:c r="D591" t="str">
        <x:v>Group A</x:v>
      </x:c>
      <x:c r="E591" s="26" t="n">
        <x:v>20537.27</x:v>
      </x:c>
      <x:c r="F591" t="n">
        <x:v>1</x:v>
      </x:c>
      <x:c r="G591" s="25" t="n">
        <x:v>0.611495</x:v>
      </x:c>
      <x:c r="H591" t="n">
        <x:f>IF(G591&lt;$B$6,1,0)</x:f>
        <x:v>0</x:v>
      </x:c>
      <x:c r="I591" s="26" t="n">
        <x:f>H591*IF(F591=0,E591*$B$7,-E591*$B$8)</x:f>
        <x:v>0</x:v>
      </x:c>
    </x:row>
    <x:row r="592">
      <x:c r="A592" t="n">
        <x:v>4520</x:v>
      </x:c>
      <x:c r="B592" t="str">
        <x:v>2024-08</x:v>
      </x:c>
      <x:c r="C592" t="str">
        <x:v>Self employed</x:v>
      </x:c>
      <x:c r="D592" t="str">
        <x:v>Group A</x:v>
      </x:c>
      <x:c r="E592" s="26" t="n">
        <x:v>5349.75</x:v>
      </x:c>
      <x:c r="F592" t="n">
        <x:v>0</x:v>
      </x:c>
      <x:c r="G592" s="25" t="n">
        <x:v>0.039161</x:v>
      </x:c>
      <x:c r="H592" t="n">
        <x:f>IF(G592&lt;$B$6,1,0)</x:f>
        <x:v>1</x:v>
      </x:c>
      <x:c r="I592" s="26" t="n">
        <x:f>H592*IF(F592=0,E592*$B$7,-E592*$B$8)</x:f>
        <x:v>641.97</x:v>
      </x:c>
    </x:row>
    <x:row r="593">
      <x:c r="A593" t="n">
        <x:v>4526</x:v>
      </x:c>
      <x:c r="B593" t="str">
        <x:v>2024-08</x:v>
      </x:c>
      <x:c r="C593" t="str">
        <x:v>Self employed</x:v>
      </x:c>
      <x:c r="D593" t="str">
        <x:v>Group B</x:v>
      </x:c>
      <x:c r="E593" s="26" t="n">
        <x:v>14689.77</x:v>
      </x:c>
      <x:c r="F593" t="n">
        <x:v>1</x:v>
      </x:c>
      <x:c r="G593" s="25" t="n">
        <x:v>0.204333</x:v>
      </x:c>
      <x:c r="H593" t="n">
        <x:f>IF(G593&lt;$B$6,1,0)</x:f>
        <x:v>0</x:v>
      </x:c>
      <x:c r="I593" s="26" t="n">
        <x:f>H593*IF(F593=0,E593*$B$7,-E593*$B$8)</x:f>
        <x:v>0</x:v>
      </x:c>
    </x:row>
    <x:row r="594">
      <x:c r="A594" t="n">
        <x:v>4537</x:v>
      </x:c>
      <x:c r="B594" t="str">
        <x:v>2024-08</x:v>
      </x:c>
      <x:c r="C594" t="str">
        <x:v>Salaried</x:v>
      </x:c>
      <x:c r="D594" t="str">
        <x:v>Group A</x:v>
      </x:c>
      <x:c r="E594" s="26" t="n">
        <x:v>15399.84</x:v>
      </x:c>
      <x:c r="F594" t="n">
        <x:v>0</x:v>
      </x:c>
      <x:c r="G594" s="25" t="n">
        <x:v>0.077284</x:v>
      </x:c>
      <x:c r="H594" t="n">
        <x:f>IF(G594&lt;$B$6,1,0)</x:f>
        <x:v>1</x:v>
      </x:c>
      <x:c r="I594" s="26" t="n">
        <x:f>H594*IF(F594=0,E594*$B$7,-E594*$B$8)</x:f>
        <x:v>1847.9808</x:v>
      </x:c>
    </x:row>
    <x:row r="595">
      <x:c r="A595" t="n">
        <x:v>4559</x:v>
      </x:c>
      <x:c r="B595" t="str">
        <x:v>2024-08</x:v>
      </x:c>
      <x:c r="C595" t="str">
        <x:v>Salaried</x:v>
      </x:c>
      <x:c r="D595" t="str">
        <x:v>Group A</x:v>
      </x:c>
      <x:c r="E595" s="26" t="n">
        <x:v>14968.79</x:v>
      </x:c>
      <x:c r="F595" t="n">
        <x:v>0</x:v>
      </x:c>
      <x:c r="G595" s="25" t="n">
        <x:v>0.692944</x:v>
      </x:c>
      <x:c r="H595" t="n">
        <x:f>IF(G595&lt;$B$6,1,0)</x:f>
        <x:v>0</x:v>
      </x:c>
      <x:c r="I595" s="26" t="n">
        <x:f>H595*IF(F595=0,E595*$B$7,-E595*$B$8)</x:f>
        <x:v>0</x:v>
      </x:c>
    </x:row>
    <x:row r="596">
      <x:c r="A596" t="n">
        <x:v>4574</x:v>
      </x:c>
      <x:c r="B596" t="str">
        <x:v>2024-08</x:v>
      </x:c>
      <x:c r="C596" t="str">
        <x:v>Self employed</x:v>
      </x:c>
      <x:c r="D596" t="str">
        <x:v>Group A</x:v>
      </x:c>
      <x:c r="E596" s="26" t="n">
        <x:v>24839.97</x:v>
      </x:c>
      <x:c r="F596" t="n">
        <x:v>1</x:v>
      </x:c>
      <x:c r="G596" s="25" t="n">
        <x:v>0.536938</x:v>
      </x:c>
      <x:c r="H596" t="n">
        <x:f>IF(G596&lt;$B$6,1,0)</x:f>
        <x:v>0</x:v>
      </x:c>
      <x:c r="I596" s="26" t="n">
        <x:f>H596*IF(F596=0,E596*$B$7,-E596*$B$8)</x:f>
        <x:v>0</x:v>
      </x:c>
    </x:row>
    <x:row r="597">
      <x:c r="A597" t="n">
        <x:v>4589</x:v>
      </x:c>
      <x:c r="B597" t="str">
        <x:v>2024-08</x:v>
      </x:c>
      <x:c r="C597" t="str">
        <x:v>Salaried</x:v>
      </x:c>
      <x:c r="D597" t="str">
        <x:v>Group B</x:v>
      </x:c>
      <x:c r="E597" s="26" t="n">
        <x:v>17588.98</x:v>
      </x:c>
      <x:c r="F597" t="n">
        <x:v>0</x:v>
      </x:c>
      <x:c r="G597" s="25" t="n">
        <x:v>0.159476</x:v>
      </x:c>
      <x:c r="H597" t="n">
        <x:f>IF(G597&lt;$B$6,1,0)</x:f>
        <x:v>1</x:v>
      </x:c>
      <x:c r="I597" s="26" t="n">
        <x:f>H597*IF(F597=0,E597*$B$7,-E597*$B$8)</x:f>
        <x:v>2110.6776</x:v>
      </x:c>
    </x:row>
    <x:row r="598">
      <x:c r="A598" t="n">
        <x:v>4606</x:v>
      </x:c>
      <x:c r="B598" t="str">
        <x:v>2024-08</x:v>
      </x:c>
      <x:c r="C598" t="str">
        <x:v>Salaried</x:v>
      </x:c>
      <x:c r="D598" t="str">
        <x:v>Group A</x:v>
      </x:c>
      <x:c r="E598" s="26" t="n">
        <x:v>25103.7</x:v>
      </x:c>
      <x:c r="F598" t="n">
        <x:v>0</x:v>
      </x:c>
      <x:c r="G598" s="25" t="n">
        <x:v>0.189584</x:v>
      </x:c>
      <x:c r="H598" t="n">
        <x:f>IF(G598&lt;$B$6,1,0)</x:f>
        <x:v>0</x:v>
      </x:c>
      <x:c r="I598" s="26" t="n">
        <x:f>H598*IF(F598=0,E598*$B$7,-E598*$B$8)</x:f>
        <x:v>0</x:v>
      </x:c>
    </x:row>
    <x:row r="599">
      <x:c r="A599" t="n">
        <x:v>4631</x:v>
      </x:c>
      <x:c r="B599" t="str">
        <x:v>2024-08</x:v>
      </x:c>
      <x:c r="C599" t="str">
        <x:v>Salaried</x:v>
      </x:c>
      <x:c r="D599" t="str">
        <x:v>Group A</x:v>
      </x:c>
      <x:c r="E599" s="26" t="n">
        <x:v>14207.11</x:v>
      </x:c>
      <x:c r="F599" t="n">
        <x:v>0</x:v>
      </x:c>
      <x:c r="G599" s="25" t="n">
        <x:v>0.045226</x:v>
      </x:c>
      <x:c r="H599" t="n">
        <x:f>IF(G599&lt;$B$6,1,0)</x:f>
        <x:v>1</x:v>
      </x:c>
      <x:c r="I599" s="26" t="n">
        <x:f>H599*IF(F599=0,E599*$B$7,-E599*$B$8)</x:f>
        <x:v>1704.8532</x:v>
      </x:c>
    </x:row>
    <x:row r="600">
      <x:c r="A600" t="n">
        <x:v>4669</x:v>
      </x:c>
      <x:c r="B600" t="str">
        <x:v>2024-08</x:v>
      </x:c>
      <x:c r="C600" t="str">
        <x:v>Contract</x:v>
      </x:c>
      <x:c r="D600" t="str">
        <x:v>Group A</x:v>
      </x:c>
      <x:c r="E600" s="26" t="n">
        <x:v>10238.33</x:v>
      </x:c>
      <x:c r="F600" t="n">
        <x:v>1</x:v>
      </x:c>
      <x:c r="G600" s="25" t="n">
        <x:v>0.187046</x:v>
      </x:c>
      <x:c r="H600" t="n">
        <x:f>IF(G600&lt;$B$6,1,0)</x:f>
        <x:v>0</x:v>
      </x:c>
      <x:c r="I600" s="26" t="n">
        <x:f>H600*IF(F600=0,E600*$B$7,-E600*$B$8)</x:f>
        <x:v>0</x:v>
      </x:c>
    </x:row>
    <x:row r="601">
      <x:c r="A601" t="n">
        <x:v>4678</x:v>
      </x:c>
      <x:c r="B601" t="str">
        <x:v>2024-08</x:v>
      </x:c>
      <x:c r="C601" t="str">
        <x:v>Salaried</x:v>
      </x:c>
      <x:c r="D601" t="str">
        <x:v>Group B</x:v>
      </x:c>
      <x:c r="E601" s="26" t="n">
        <x:v>18317.56</x:v>
      </x:c>
      <x:c r="F601" t="n">
        <x:v>0</x:v>
      </x:c>
      <x:c r="G601" s="25" t="n">
        <x:v>0.125977</x:v>
      </x:c>
      <x:c r="H601" t="n">
        <x:f>IF(G601&lt;$B$6,1,0)</x:f>
        <x:v>1</x:v>
      </x:c>
      <x:c r="I601" s="26" t="n">
        <x:f>H601*IF(F601=0,E601*$B$7,-E601*$B$8)</x:f>
        <x:v>2198.1072</x:v>
      </x:c>
    </x:row>
    <x:row r="602">
      <x:c r="A602" t="n">
        <x:v>4682</x:v>
      </x:c>
      <x:c r="B602" t="str">
        <x:v>2024-08</x:v>
      </x:c>
      <x:c r="C602" t="str">
        <x:v>Salaried</x:v>
      </x:c>
      <x:c r="D602" t="str">
        <x:v>Group B</x:v>
      </x:c>
      <x:c r="E602" s="26" t="n">
        <x:v>7145.55</x:v>
      </x:c>
      <x:c r="F602" t="n">
        <x:v>0</x:v>
      </x:c>
      <x:c r="G602" s="25" t="n">
        <x:v>0.087818</x:v>
      </x:c>
      <x:c r="H602" t="n">
        <x:f>IF(G602&lt;$B$6,1,0)</x:f>
        <x:v>1</x:v>
      </x:c>
      <x:c r="I602" s="26" t="n">
        <x:f>H602*IF(F602=0,E602*$B$7,-E602*$B$8)</x:f>
        <x:v>857.466</x:v>
      </x:c>
    </x:row>
    <x:row r="603">
      <x:c r="A603" t="n">
        <x:v>4702</x:v>
      </x:c>
      <x:c r="B603" t="str">
        <x:v>2024-08</x:v>
      </x:c>
      <x:c r="C603" t="str">
        <x:v>Salaried</x:v>
      </x:c>
      <x:c r="D603" t="str">
        <x:v>Group A</x:v>
      </x:c>
      <x:c r="E603" s="26" t="n">
        <x:v>26725.84</x:v>
      </x:c>
      <x:c r="F603" t="n">
        <x:v>1</x:v>
      </x:c>
      <x:c r="G603" s="25" t="n">
        <x:v>0.72685</x:v>
      </x:c>
      <x:c r="H603" t="n">
        <x:f>IF(G603&lt;$B$6,1,0)</x:f>
        <x:v>0</x:v>
      </x:c>
      <x:c r="I603" s="26" t="n">
        <x:f>H603*IF(F603=0,E603*$B$7,-E603*$B$8)</x:f>
        <x:v>0</x:v>
      </x:c>
    </x:row>
    <x:row r="604">
      <x:c r="A604" t="n">
        <x:v>4746</x:v>
      </x:c>
      <x:c r="B604" t="str">
        <x:v>2024-08</x:v>
      </x:c>
      <x:c r="C604" t="str">
        <x:v>Contract</x:v>
      </x:c>
      <x:c r="D604" t="str">
        <x:v>Group A</x:v>
      </x:c>
      <x:c r="E604" s="26" t="n">
        <x:v>10273.47</x:v>
      </x:c>
      <x:c r="F604" t="n">
        <x:v>0</x:v>
      </x:c>
      <x:c r="G604" s="25" t="n">
        <x:v>0.108465</x:v>
      </x:c>
      <x:c r="H604" t="n">
        <x:f>IF(G604&lt;$B$6,1,0)</x:f>
        <x:v>1</x:v>
      </x:c>
      <x:c r="I604" s="26" t="n">
        <x:f>H604*IF(F604=0,E604*$B$7,-E604*$B$8)</x:f>
        <x:v>1232.8164</x:v>
      </x:c>
    </x:row>
    <x:row r="605">
      <x:c r="A605" t="n">
        <x:v>4768</x:v>
      </x:c>
      <x:c r="B605" t="str">
        <x:v>2024-08</x:v>
      </x:c>
      <x:c r="C605" t="str">
        <x:v>Salaried</x:v>
      </x:c>
      <x:c r="D605" t="str">
        <x:v>Group B</x:v>
      </x:c>
      <x:c r="E605" s="26" t="n">
        <x:v>16213.63</x:v>
      </x:c>
      <x:c r="F605" t="n">
        <x:v>0</x:v>
      </x:c>
      <x:c r="G605" s="25" t="n">
        <x:v>0.1864</x:v>
      </x:c>
      <x:c r="H605" t="n">
        <x:f>IF(G605&lt;$B$6,1,0)</x:f>
        <x:v>0</x:v>
      </x:c>
      <x:c r="I605" s="26" t="n">
        <x:f>H605*IF(F605=0,E605*$B$7,-E605*$B$8)</x:f>
        <x:v>0</x:v>
      </x:c>
    </x:row>
    <x:row r="606">
      <x:c r="A606" t="n">
        <x:v>4777</x:v>
      </x:c>
      <x:c r="B606" t="str">
        <x:v>2024-08</x:v>
      </x:c>
      <x:c r="C606" t="str">
        <x:v>Salaried</x:v>
      </x:c>
      <x:c r="D606" t="str">
        <x:v>Group B</x:v>
      </x:c>
      <x:c r="E606" s="26" t="n">
        <x:v>9698.82</x:v>
      </x:c>
      <x:c r="F606" t="n">
        <x:v>0</x:v>
      </x:c>
      <x:c r="G606" s="25" t="n">
        <x:v>0.076636</x:v>
      </x:c>
      <x:c r="H606" t="n">
        <x:f>IF(G606&lt;$B$6,1,0)</x:f>
        <x:v>1</x:v>
      </x:c>
      <x:c r="I606" s="26" t="n">
        <x:f>H606*IF(F606=0,E606*$B$7,-E606*$B$8)</x:f>
        <x:v>1163.8583999999998</x:v>
      </x:c>
    </x:row>
    <x:row r="607">
      <x:c r="A607" t="n">
        <x:v>4778</x:v>
      </x:c>
      <x:c r="B607" t="str">
        <x:v>2024-08</x:v>
      </x:c>
      <x:c r="C607" t="str">
        <x:v>Contract</x:v>
      </x:c>
      <x:c r="D607" t="str">
        <x:v>Group B</x:v>
      </x:c>
      <x:c r="E607" s="26" t="n">
        <x:v>38072.75</x:v>
      </x:c>
      <x:c r="F607" t="n">
        <x:v>0</x:v>
      </x:c>
      <x:c r="G607" s="25" t="n">
        <x:v>0.363255</x:v>
      </x:c>
      <x:c r="H607" t="n">
        <x:f>IF(G607&lt;$B$6,1,0)</x:f>
        <x:v>0</x:v>
      </x:c>
      <x:c r="I607" s="26" t="n">
        <x:f>H607*IF(F607=0,E607*$B$7,-E607*$B$8)</x:f>
        <x:v>0</x:v>
      </x:c>
    </x:row>
    <x:row r="608">
      <x:c r="A608" t="n">
        <x:v>4796</x:v>
      </x:c>
      <x:c r="B608" t="str">
        <x:v>2024-08</x:v>
      </x:c>
      <x:c r="C608" t="str">
        <x:v>Salaried</x:v>
      </x:c>
      <x:c r="D608" t="str">
        <x:v>Group A</x:v>
      </x:c>
      <x:c r="E608" s="26" t="n">
        <x:v>17972.9</x:v>
      </x:c>
      <x:c r="F608" t="n">
        <x:v>1</x:v>
      </x:c>
      <x:c r="G608" s="25" t="n">
        <x:v>0.672084</x:v>
      </x:c>
      <x:c r="H608" t="n">
        <x:f>IF(G608&lt;$B$6,1,0)</x:f>
        <x:v>0</x:v>
      </x:c>
      <x:c r="I608" s="26" t="n">
        <x:f>H608*IF(F608=0,E608*$B$7,-E608*$B$8)</x:f>
        <x:v>0</x:v>
      </x:c>
    </x:row>
    <x:row r="609">
      <x:c r="A609" t="n">
        <x:v>4799</x:v>
      </x:c>
      <x:c r="B609" t="str">
        <x:v>2024-08</x:v>
      </x:c>
      <x:c r="C609" t="str">
        <x:v>Self employed</x:v>
      </x:c>
      <x:c r="D609" t="str">
        <x:v>Group B</x:v>
      </x:c>
      <x:c r="E609" s="26" t="n">
        <x:v>16761.83</x:v>
      </x:c>
      <x:c r="F609" t="n">
        <x:v>0</x:v>
      </x:c>
      <x:c r="G609" s="25" t="n">
        <x:v>0.048579</x:v>
      </x:c>
      <x:c r="H609" t="n">
        <x:f>IF(G609&lt;$B$6,1,0)</x:f>
        <x:v>1</x:v>
      </x:c>
      <x:c r="I609" s="26" t="n">
        <x:f>H609*IF(F609=0,E609*$B$7,-E609*$B$8)</x:f>
        <x:v>2011.4196000000002</x:v>
      </x:c>
    </x:row>
    <x:row r="610">
      <x:c r="A610" t="n">
        <x:v>4805</x:v>
      </x:c>
      <x:c r="B610" t="str">
        <x:v>2024-08</x:v>
      </x:c>
      <x:c r="C610" t="str">
        <x:v>Salaried</x:v>
      </x:c>
      <x:c r="D610" t="str">
        <x:v>Group A</x:v>
      </x:c>
      <x:c r="E610" s="26" t="n">
        <x:v>9639.3</x:v>
      </x:c>
      <x:c r="F610" t="n">
        <x:v>0</x:v>
      </x:c>
      <x:c r="G610" s="25" t="n">
        <x:v>0.084313</x:v>
      </x:c>
      <x:c r="H610" t="n">
        <x:f>IF(G610&lt;$B$6,1,0)</x:f>
        <x:v>1</x:v>
      </x:c>
      <x:c r="I610" s="26" t="n">
        <x:f>H610*IF(F610=0,E610*$B$7,-E610*$B$8)</x:f>
        <x:v>1156.716</x:v>
      </x:c>
    </x:row>
    <x:row r="611">
      <x:c r="A611" t="n">
        <x:v>4806</x:v>
      </x:c>
      <x:c r="B611" t="str">
        <x:v>2024-08</x:v>
      </x:c>
      <x:c r="C611" t="str">
        <x:v>Salaried</x:v>
      </x:c>
      <x:c r="D611" t="str">
        <x:v>Group B</x:v>
      </x:c>
      <x:c r="E611" s="26" t="n">
        <x:v>13353.93</x:v>
      </x:c>
      <x:c r="F611" t="n">
        <x:v>0</x:v>
      </x:c>
      <x:c r="G611" s="25" t="n">
        <x:v>0.197409</x:v>
      </x:c>
      <x:c r="H611" t="n">
        <x:f>IF(G611&lt;$B$6,1,0)</x:f>
        <x:v>0</x:v>
      </x:c>
      <x:c r="I611" s="26" t="n">
        <x:f>H611*IF(F611=0,E611*$B$7,-E611*$B$8)</x:f>
        <x:v>0</x:v>
      </x:c>
    </x:row>
    <x:row r="612">
      <x:c r="A612" t="n">
        <x:v>4831</x:v>
      </x:c>
      <x:c r="B612" t="str">
        <x:v>2024-08</x:v>
      </x:c>
      <x:c r="C612" t="str">
        <x:v>Contract</x:v>
      </x:c>
      <x:c r="D612" t="str">
        <x:v>Group B</x:v>
      </x:c>
      <x:c r="E612" s="26" t="n">
        <x:v>7700.9</x:v>
      </x:c>
      <x:c r="F612" t="n">
        <x:v>0</x:v>
      </x:c>
      <x:c r="G612" s="25" t="n">
        <x:v>0.316688</x:v>
      </x:c>
      <x:c r="H612" t="n">
        <x:f>IF(G612&lt;$B$6,1,0)</x:f>
        <x:v>0</x:v>
      </x:c>
      <x:c r="I612" s="26" t="n">
        <x:f>H612*IF(F612=0,E612*$B$7,-E612*$B$8)</x:f>
        <x:v>0</x:v>
      </x:c>
    </x:row>
    <x:row r="613">
      <x:c r="A613" t="n">
        <x:v>4842</x:v>
      </x:c>
      <x:c r="B613" t="str">
        <x:v>2024-08</x:v>
      </x:c>
      <x:c r="C613" t="str">
        <x:v>Self employed</x:v>
      </x:c>
      <x:c r="D613" t="str">
        <x:v>Group A</x:v>
      </x:c>
      <x:c r="E613" s="26" t="n">
        <x:v>16325.29</x:v>
      </x:c>
      <x:c r="F613" t="n">
        <x:v>0</x:v>
      </x:c>
      <x:c r="G613" s="25" t="n">
        <x:v>0.267042</x:v>
      </x:c>
      <x:c r="H613" t="n">
        <x:f>IF(G613&lt;$B$6,1,0)</x:f>
        <x:v>0</x:v>
      </x:c>
      <x:c r="I613" s="26" t="n">
        <x:f>H613*IF(F613=0,E613*$B$7,-E613*$B$8)</x:f>
        <x:v>0</x:v>
      </x:c>
    </x:row>
    <x:row r="614">
      <x:c r="A614" t="n">
        <x:v>4864</x:v>
      </x:c>
      <x:c r="B614" t="str">
        <x:v>2024-08</x:v>
      </x:c>
      <x:c r="C614" t="str">
        <x:v>Salaried</x:v>
      </x:c>
      <x:c r="D614" t="str">
        <x:v>Group A</x:v>
      </x:c>
      <x:c r="E614" s="26" t="n">
        <x:v>19792.94</x:v>
      </x:c>
      <x:c r="F614" t="n">
        <x:v>0</x:v>
      </x:c>
      <x:c r="G614" s="25" t="n">
        <x:v>0.114936</x:v>
      </x:c>
      <x:c r="H614" t="n">
        <x:f>IF(G614&lt;$B$6,1,0)</x:f>
        <x:v>1</x:v>
      </x:c>
      <x:c r="I614" s="26" t="n">
        <x:f>H614*IF(F614=0,E614*$B$7,-E614*$B$8)</x:f>
        <x:v>2375.1528</x:v>
      </x:c>
    </x:row>
    <x:row r="615">
      <x:c r="A615" t="n">
        <x:v>4895</x:v>
      </x:c>
      <x:c r="B615" t="str">
        <x:v>2024-08</x:v>
      </x:c>
      <x:c r="C615" t="str">
        <x:v>Salaried</x:v>
      </x:c>
      <x:c r="D615" t="str">
        <x:v>Group B</x:v>
      </x:c>
      <x:c r="E615" s="26" t="n">
        <x:v>9710.02</x:v>
      </x:c>
      <x:c r="F615" t="n">
        <x:v>0</x:v>
      </x:c>
      <x:c r="G615" s="25" t="n">
        <x:v>0.074125</x:v>
      </x:c>
      <x:c r="H615" t="n">
        <x:f>IF(G615&lt;$B$6,1,0)</x:f>
        <x:v>1</x:v>
      </x:c>
      <x:c r="I615" s="26" t="n">
        <x:f>H615*IF(F615=0,E615*$B$7,-E615*$B$8)</x:f>
        <x:v>1165.2024</x:v>
      </x:c>
    </x:row>
    <x:row r="616">
      <x:c r="A616" t="n">
        <x:v>4897</x:v>
      </x:c>
      <x:c r="B616" t="str">
        <x:v>2024-08</x:v>
      </x:c>
      <x:c r="C616" t="str">
        <x:v>Contract</x:v>
      </x:c>
      <x:c r="D616" t="str">
        <x:v>Group B</x:v>
      </x:c>
      <x:c r="E616" s="26" t="n">
        <x:v>6622.66</x:v>
      </x:c>
      <x:c r="F616" t="n">
        <x:v>0</x:v>
      </x:c>
      <x:c r="G616" s="25" t="n">
        <x:v>0.591353</x:v>
      </x:c>
      <x:c r="H616" t="n">
        <x:f>IF(G616&lt;$B$6,1,0)</x:f>
        <x:v>0</x:v>
      </x:c>
      <x:c r="I616" s="26" t="n">
        <x:f>H616*IF(F616=0,E616*$B$7,-E616*$B$8)</x:f>
        <x:v>0</x:v>
      </x:c>
    </x:row>
    <x:row r="617">
      <x:c r="A617" t="n">
        <x:v>4916</x:v>
      </x:c>
      <x:c r="B617" t="str">
        <x:v>2024-08</x:v>
      </x:c>
      <x:c r="C617" t="str">
        <x:v>Contract</x:v>
      </x:c>
      <x:c r="D617" t="str">
        <x:v>Group A</x:v>
      </x:c>
      <x:c r="E617" s="26" t="n">
        <x:v>47393.85</x:v>
      </x:c>
      <x:c r="F617" t="n">
        <x:v>0</x:v>
      </x:c>
      <x:c r="G617" s="25" t="n">
        <x:v>0.400205</x:v>
      </x:c>
      <x:c r="H617" t="n">
        <x:f>IF(G617&lt;$B$6,1,0)</x:f>
        <x:v>0</x:v>
      </x:c>
      <x:c r="I617" s="26" t="n">
        <x:f>H617*IF(F617=0,E617*$B$7,-E617*$B$8)</x:f>
        <x:v>0</x:v>
      </x:c>
    </x:row>
    <x:row r="618">
      <x:c r="A618" t="n">
        <x:v>5008</x:v>
      </x:c>
      <x:c r="B618" t="str">
        <x:v>2024-08</x:v>
      </x:c>
      <x:c r="C618" t="str">
        <x:v>Salaried</x:v>
      </x:c>
      <x:c r="D618" t="str">
        <x:v>Group A</x:v>
      </x:c>
      <x:c r="E618" s="26" t="n">
        <x:v>20185.23</x:v>
      </x:c>
      <x:c r="F618" t="n">
        <x:v>0</x:v>
      </x:c>
      <x:c r="G618" s="25" t="n">
        <x:v>0.227834</x:v>
      </x:c>
      <x:c r="H618" t="n">
        <x:f>IF(G618&lt;$B$6,1,0)</x:f>
        <x:v>0</x:v>
      </x:c>
      <x:c r="I618" s="26" t="n">
        <x:f>H618*IF(F618=0,E618*$B$7,-E618*$B$8)</x:f>
        <x:v>0</x:v>
      </x:c>
    </x:row>
    <x:row r="619">
      <x:c r="A619" t="n">
        <x:v>5014</x:v>
      </x:c>
      <x:c r="B619" t="str">
        <x:v>2024-08</x:v>
      </x:c>
      <x:c r="C619" t="str">
        <x:v>Salaried</x:v>
      </x:c>
      <x:c r="D619" t="str">
        <x:v>Group A</x:v>
      </x:c>
      <x:c r="E619" s="26" t="n">
        <x:v>31736.99</x:v>
      </x:c>
      <x:c r="F619" t="n">
        <x:v>1</x:v>
      </x:c>
      <x:c r="G619" s="25" t="n">
        <x:v>0.458765</x:v>
      </x:c>
      <x:c r="H619" t="n">
        <x:f>IF(G619&lt;$B$6,1,0)</x:f>
        <x:v>0</x:v>
      </x:c>
      <x:c r="I619" s="26" t="n">
        <x:f>H619*IF(F619=0,E619*$B$7,-E619*$B$8)</x:f>
        <x:v>0</x:v>
      </x:c>
    </x:row>
    <x:row r="620">
      <x:c r="A620" t="n">
        <x:v>5045</x:v>
      </x:c>
      <x:c r="B620" t="str">
        <x:v>2024-08</x:v>
      </x:c>
      <x:c r="C620" t="str">
        <x:v>Self employed</x:v>
      </x:c>
      <x:c r="D620" t="str">
        <x:v>Group A</x:v>
      </x:c>
      <x:c r="E620" s="26" t="n">
        <x:v>6735.81</x:v>
      </x:c>
      <x:c r="F620" t="n">
        <x:v>0</x:v>
      </x:c>
      <x:c r="G620" s="25" t="n">
        <x:v>0.199529</x:v>
      </x:c>
      <x:c r="H620" t="n">
        <x:f>IF(G620&lt;$B$6,1,0)</x:f>
        <x:v>0</x:v>
      </x:c>
      <x:c r="I620" s="26" t="n">
        <x:f>H620*IF(F620=0,E620*$B$7,-E620*$B$8)</x:f>
        <x:v>0</x:v>
      </x:c>
    </x:row>
    <x:row r="621">
      <x:c r="A621" t="n">
        <x:v>5046</x:v>
      </x:c>
      <x:c r="B621" t="str">
        <x:v>2024-08</x:v>
      </x:c>
      <x:c r="C621" t="str">
        <x:v>Salaried</x:v>
      </x:c>
      <x:c r="D621" t="str">
        <x:v>Group A</x:v>
      </x:c>
      <x:c r="E621" s="26" t="n">
        <x:v>16546.29</x:v>
      </x:c>
      <x:c r="F621" t="n">
        <x:v>1</x:v>
      </x:c>
      <x:c r="G621" s="25" t="n">
        <x:v>0.296579</x:v>
      </x:c>
      <x:c r="H621" t="n">
        <x:f>IF(G621&lt;$B$6,1,0)</x:f>
        <x:v>0</x:v>
      </x:c>
      <x:c r="I621" s="26" t="n">
        <x:f>H621*IF(F621=0,E621*$B$7,-E621*$B$8)</x:f>
        <x:v>0</x:v>
      </x:c>
    </x:row>
    <x:row r="622">
      <x:c r="A622" t="n">
        <x:v>5057</x:v>
      </x:c>
      <x:c r="B622" t="str">
        <x:v>2024-08</x:v>
      </x:c>
      <x:c r="C622" t="str">
        <x:v>Contract</x:v>
      </x:c>
      <x:c r="D622" t="str">
        <x:v>Group B</x:v>
      </x:c>
      <x:c r="E622" s="26" t="n">
        <x:v>5871.07</x:v>
      </x:c>
      <x:c r="F622" t="n">
        <x:v>0</x:v>
      </x:c>
      <x:c r="G622" s="25" t="n">
        <x:v>0.330649</x:v>
      </x:c>
      <x:c r="H622" t="n">
        <x:f>IF(G622&lt;$B$6,1,0)</x:f>
        <x:v>0</x:v>
      </x:c>
      <x:c r="I622" s="26" t="n">
        <x:f>H622*IF(F622=0,E622*$B$7,-E622*$B$8)</x:f>
        <x:v>0</x:v>
      </x:c>
    </x:row>
    <x:row r="623">
      <x:c r="A623" t="n">
        <x:v>5073</x:v>
      </x:c>
      <x:c r="B623" t="str">
        <x:v>2024-08</x:v>
      </x:c>
      <x:c r="C623" t="str">
        <x:v>Self employed</x:v>
      </x:c>
      <x:c r="D623" t="str">
        <x:v>Group B</x:v>
      </x:c>
      <x:c r="E623" s="26" t="n">
        <x:v>13130.37</x:v>
      </x:c>
      <x:c r="F623" t="n">
        <x:v>0</x:v>
      </x:c>
      <x:c r="G623" s="25" t="n">
        <x:v>0.513579</x:v>
      </x:c>
      <x:c r="H623" t="n">
        <x:f>IF(G623&lt;$B$6,1,0)</x:f>
        <x:v>0</x:v>
      </x:c>
      <x:c r="I623" s="26" t="n">
        <x:f>H623*IF(F623=0,E623*$B$7,-E623*$B$8)</x:f>
        <x:v>0</x:v>
      </x:c>
    </x:row>
    <x:row r="624">
      <x:c r="A624" t="n">
        <x:v>5074</x:v>
      </x:c>
      <x:c r="B624" t="str">
        <x:v>2024-08</x:v>
      </x:c>
      <x:c r="C624" t="str">
        <x:v>Contract</x:v>
      </x:c>
      <x:c r="D624" t="str">
        <x:v>Group A</x:v>
      </x:c>
      <x:c r="E624" s="26" t="n">
        <x:v>16040.5</x:v>
      </x:c>
      <x:c r="F624" t="n">
        <x:v>1</x:v>
      </x:c>
      <x:c r="G624" s="25" t="n">
        <x:v>0.485392</x:v>
      </x:c>
      <x:c r="H624" t="n">
        <x:f>IF(G624&lt;$B$6,1,0)</x:f>
        <x:v>0</x:v>
      </x:c>
      <x:c r="I624" s="26" t="n">
        <x:f>H624*IF(F624=0,E624*$B$7,-E624*$B$8)</x:f>
        <x:v>0</x:v>
      </x:c>
    </x:row>
    <x:row r="625">
      <x:c r="A625" t="n">
        <x:v>5085</x:v>
      </x:c>
      <x:c r="B625" t="str">
        <x:v>2024-08</x:v>
      </x:c>
      <x:c r="C625" t="str">
        <x:v>Salaried</x:v>
      </x:c>
      <x:c r="D625" t="str">
        <x:v>Group B</x:v>
      </x:c>
      <x:c r="E625" s="26" t="n">
        <x:v>6175.45</x:v>
      </x:c>
      <x:c r="F625" t="n">
        <x:v>0</x:v>
      </x:c>
      <x:c r="G625" s="25" t="n">
        <x:v>0.320253</x:v>
      </x:c>
      <x:c r="H625" t="n">
        <x:f>IF(G625&lt;$B$6,1,0)</x:f>
        <x:v>0</x:v>
      </x:c>
      <x:c r="I625" s="26" t="n">
        <x:f>H625*IF(F625=0,E625*$B$7,-E625*$B$8)</x:f>
        <x:v>0</x:v>
      </x:c>
    </x:row>
    <x:row r="626">
      <x:c r="A626" t="n">
        <x:v>5137</x:v>
      </x:c>
      <x:c r="B626" t="str">
        <x:v>2024-08</x:v>
      </x:c>
      <x:c r="C626" t="str">
        <x:v>Salaried</x:v>
      </x:c>
      <x:c r="D626" t="str">
        <x:v>Group A</x:v>
      </x:c>
      <x:c r="E626" s="26" t="n">
        <x:v>6700.03</x:v>
      </x:c>
      <x:c r="F626" t="n">
        <x:v>0</x:v>
      </x:c>
      <x:c r="G626" s="25" t="n">
        <x:v>0.072189</x:v>
      </x:c>
      <x:c r="H626" t="n">
        <x:f>IF(G626&lt;$B$6,1,0)</x:f>
        <x:v>1</x:v>
      </x:c>
      <x:c r="I626" s="26" t="n">
        <x:f>H626*IF(F626=0,E626*$B$7,-E626*$B$8)</x:f>
        <x:v>804.0035999999999</x:v>
      </x:c>
    </x:row>
    <x:row r="627">
      <x:c r="A627" t="n">
        <x:v>5147</x:v>
      </x:c>
      <x:c r="B627" t="str">
        <x:v>2024-08</x:v>
      </x:c>
      <x:c r="C627" t="str">
        <x:v>Salaried</x:v>
      </x:c>
      <x:c r="D627" t="str">
        <x:v>Group A</x:v>
      </x:c>
      <x:c r="E627" s="26" t="n">
        <x:v>21624.53</x:v>
      </x:c>
      <x:c r="F627" t="n">
        <x:v>1</x:v>
      </x:c>
      <x:c r="G627" s="25" t="n">
        <x:v>0.275722</x:v>
      </x:c>
      <x:c r="H627" t="n">
        <x:f>IF(G627&lt;$B$6,1,0)</x:f>
        <x:v>0</x:v>
      </x:c>
      <x:c r="I627" s="26" t="n">
        <x:f>H627*IF(F627=0,E627*$B$7,-E627*$B$8)</x:f>
        <x:v>0</x:v>
      </x:c>
    </x:row>
    <x:row r="628">
      <x:c r="A628" t="n">
        <x:v>5201</x:v>
      </x:c>
      <x:c r="B628" t="str">
        <x:v>2024-08</x:v>
      </x:c>
      <x:c r="C628" t="str">
        <x:v>Self employed</x:v>
      </x:c>
      <x:c r="D628" t="str">
        <x:v>Group A</x:v>
      </x:c>
      <x:c r="E628" s="26" t="n">
        <x:v>5586.35</x:v>
      </x:c>
      <x:c r="F628" t="n">
        <x:v>0</x:v>
      </x:c>
      <x:c r="G628" s="25" t="n">
        <x:v>0.063617</x:v>
      </x:c>
      <x:c r="H628" t="n">
        <x:f>IF(G628&lt;$B$6,1,0)</x:f>
        <x:v>1</x:v>
      </x:c>
      <x:c r="I628" s="26" t="n">
        <x:f>H628*IF(F628=0,E628*$B$7,-E628*$B$8)</x:f>
        <x:v>670.362</x:v>
      </x:c>
    </x:row>
    <x:row r="629">
      <x:c r="A629" t="n">
        <x:v>5232</x:v>
      </x:c>
      <x:c r="B629" t="str">
        <x:v>2024-08</x:v>
      </x:c>
      <x:c r="C629" t="str">
        <x:v>Salaried</x:v>
      </x:c>
      <x:c r="D629" t="str">
        <x:v>Group B</x:v>
      </x:c>
      <x:c r="E629" s="26" t="n">
        <x:v>24358.8</x:v>
      </x:c>
      <x:c r="F629" t="n">
        <x:v>0</x:v>
      </x:c>
      <x:c r="G629" s="25" t="n">
        <x:v>0.326775</x:v>
      </x:c>
      <x:c r="H629" t="n">
        <x:f>IF(G629&lt;$B$6,1,0)</x:f>
        <x:v>0</x:v>
      </x:c>
      <x:c r="I629" s="26" t="n">
        <x:f>H629*IF(F629=0,E629*$B$7,-E629*$B$8)</x:f>
        <x:v>0</x:v>
      </x:c>
    </x:row>
    <x:row r="630">
      <x:c r="A630" t="n">
        <x:v>5237</x:v>
      </x:c>
      <x:c r="B630" t="str">
        <x:v>2024-08</x:v>
      </x:c>
      <x:c r="C630" t="str">
        <x:v>Self employed</x:v>
      </x:c>
      <x:c r="D630" t="str">
        <x:v>Group A</x:v>
      </x:c>
      <x:c r="E630" s="26" t="n">
        <x:v>27917.1</x:v>
      </x:c>
      <x:c r="F630" t="n">
        <x:v>0</x:v>
      </x:c>
      <x:c r="G630" s="25" t="n">
        <x:v>0.161654</x:v>
      </x:c>
      <x:c r="H630" t="n">
        <x:f>IF(G630&lt;$B$6,1,0)</x:f>
        <x:v>0</x:v>
      </x:c>
      <x:c r="I630" s="26" t="n">
        <x:f>H630*IF(F630=0,E630*$B$7,-E630*$B$8)</x:f>
        <x:v>0</x:v>
      </x:c>
    </x:row>
    <x:row r="631">
      <x:c r="A631" t="n">
        <x:v>5279</x:v>
      </x:c>
      <x:c r="B631" t="str">
        <x:v>2024-08</x:v>
      </x:c>
      <x:c r="C631" t="str">
        <x:v>Salaried</x:v>
      </x:c>
      <x:c r="D631" t="str">
        <x:v>Group A</x:v>
      </x:c>
      <x:c r="E631" s="26" t="n">
        <x:v>16351.58</x:v>
      </x:c>
      <x:c r="F631" t="n">
        <x:v>0</x:v>
      </x:c>
      <x:c r="G631" s="25" t="n">
        <x:v>0.078517</x:v>
      </x:c>
      <x:c r="H631" t="n">
        <x:f>IF(G631&lt;$B$6,1,0)</x:f>
        <x:v>1</x:v>
      </x:c>
      <x:c r="I631" s="26" t="n">
        <x:f>H631*IF(F631=0,E631*$B$7,-E631*$B$8)</x:f>
        <x:v>1962.1896</x:v>
      </x:c>
    </x:row>
    <x:row r="632">
      <x:c r="A632" t="n">
        <x:v>5309</x:v>
      </x:c>
      <x:c r="B632" t="str">
        <x:v>2024-08</x:v>
      </x:c>
      <x:c r="C632" t="str">
        <x:v>Salaried</x:v>
      </x:c>
      <x:c r="D632" t="str">
        <x:v>Group B</x:v>
      </x:c>
      <x:c r="E632" s="26" t="n">
        <x:v>5397.11</x:v>
      </x:c>
      <x:c r="F632" t="n">
        <x:v>1</x:v>
      </x:c>
      <x:c r="G632" s="25" t="n">
        <x:v>0.367905</x:v>
      </x:c>
      <x:c r="H632" t="n">
        <x:f>IF(G632&lt;$B$6,1,0)</x:f>
        <x:v>0</x:v>
      </x:c>
      <x:c r="I632" s="26" t="n">
        <x:f>H632*IF(F632=0,E632*$B$7,-E632*$B$8)</x:f>
        <x:v>0</x:v>
      </x:c>
    </x:row>
    <x:row r="633">
      <x:c r="A633" t="n">
        <x:v>5334</x:v>
      </x:c>
      <x:c r="B633" t="str">
        <x:v>2024-08</x:v>
      </x:c>
      <x:c r="C633" t="str">
        <x:v>Contract</x:v>
      </x:c>
      <x:c r="D633" t="str">
        <x:v>Group B</x:v>
      </x:c>
      <x:c r="E633" s="26" t="n">
        <x:v>35525.38</x:v>
      </x:c>
      <x:c r="F633" t="n">
        <x:v>0</x:v>
      </x:c>
      <x:c r="G633" s="25" t="n">
        <x:v>0.222536</x:v>
      </x:c>
      <x:c r="H633" t="n">
        <x:f>IF(G633&lt;$B$6,1,0)</x:f>
        <x:v>0</x:v>
      </x:c>
      <x:c r="I633" s="26" t="n">
        <x:f>H633*IF(F633=0,E633*$B$7,-E633*$B$8)</x:f>
        <x:v>0</x:v>
      </x:c>
    </x:row>
    <x:row r="634">
      <x:c r="A634" t="n">
        <x:v>5359</x:v>
      </x:c>
      <x:c r="B634" t="str">
        <x:v>2024-08</x:v>
      </x:c>
      <x:c r="C634" t="str">
        <x:v>Salaried</x:v>
      </x:c>
      <x:c r="D634" t="str">
        <x:v>Group B</x:v>
      </x:c>
      <x:c r="E634" s="26" t="n">
        <x:v>15688.44</x:v>
      </x:c>
      <x:c r="F634" t="n">
        <x:v>0</x:v>
      </x:c>
      <x:c r="G634" s="25" t="n">
        <x:v>0.244756</x:v>
      </x:c>
      <x:c r="H634" t="n">
        <x:f>IF(G634&lt;$B$6,1,0)</x:f>
        <x:v>0</x:v>
      </x:c>
      <x:c r="I634" s="26" t="n">
        <x:f>H634*IF(F634=0,E634*$B$7,-E634*$B$8)</x:f>
        <x:v>0</x:v>
      </x:c>
    </x:row>
    <x:row r="635">
      <x:c r="A635" t="n">
        <x:v>5363</x:v>
      </x:c>
      <x:c r="B635" t="str">
        <x:v>2024-08</x:v>
      </x:c>
      <x:c r="C635" t="str">
        <x:v>Salaried</x:v>
      </x:c>
      <x:c r="D635" t="str">
        <x:v>Group B</x:v>
      </x:c>
      <x:c r="E635" s="26" t="n">
        <x:v>11092.83</x:v>
      </x:c>
      <x:c r="F635" t="n">
        <x:v>0</x:v>
      </x:c>
      <x:c r="G635" s="25" t="n">
        <x:v>0.077776</x:v>
      </x:c>
      <x:c r="H635" t="n">
        <x:f>IF(G635&lt;$B$6,1,0)</x:f>
        <x:v>1</x:v>
      </x:c>
      <x:c r="I635" s="26" t="n">
        <x:f>H635*IF(F635=0,E635*$B$7,-E635*$B$8)</x:f>
        <x:v>1331.1396</x:v>
      </x:c>
    </x:row>
    <x:row r="636">
      <x:c r="A636" t="n">
        <x:v>5367</x:v>
      </x:c>
      <x:c r="B636" t="str">
        <x:v>2024-08</x:v>
      </x:c>
      <x:c r="C636" t="str">
        <x:v>Self employed</x:v>
      </x:c>
      <x:c r="D636" t="str">
        <x:v>Group B</x:v>
      </x:c>
      <x:c r="E636" s="26" t="n">
        <x:v>49603.48</x:v>
      </x:c>
      <x:c r="F636" t="n">
        <x:v>0</x:v>
      </x:c>
      <x:c r="G636" s="25" t="n">
        <x:v>0.097653</x:v>
      </x:c>
      <x:c r="H636" t="n">
        <x:f>IF(G636&lt;$B$6,1,0)</x:f>
        <x:v>1</x:v>
      </x:c>
      <x:c r="I636" s="26" t="n">
        <x:f>H636*IF(F636=0,E636*$B$7,-E636*$B$8)</x:f>
        <x:v>5952.4176</x:v>
      </x:c>
    </x:row>
    <x:row r="637">
      <x:c r="A637" t="n">
        <x:v>5399</x:v>
      </x:c>
      <x:c r="B637" t="str">
        <x:v>2024-08</x:v>
      </x:c>
      <x:c r="C637" t="str">
        <x:v>Self employed</x:v>
      </x:c>
      <x:c r="D637" t="str">
        <x:v>Group A</x:v>
      </x:c>
      <x:c r="E637" s="26" t="n">
        <x:v>17646.19</x:v>
      </x:c>
      <x:c r="F637" t="n">
        <x:v>0</x:v>
      </x:c>
      <x:c r="G637" s="25" t="n">
        <x:v>0.119592</x:v>
      </x:c>
      <x:c r="H637" t="n">
        <x:f>IF(G637&lt;$B$6,1,0)</x:f>
        <x:v>1</x:v>
      </x:c>
      <x:c r="I637" s="26" t="n">
        <x:f>H637*IF(F637=0,E637*$B$7,-E637*$B$8)</x:f>
        <x:v>2117.5427999999997</x:v>
      </x:c>
    </x:row>
    <x:row r="638">
      <x:c r="A638" t="n">
        <x:v>5477</x:v>
      </x:c>
      <x:c r="B638" t="str">
        <x:v>2024-08</x:v>
      </x:c>
      <x:c r="C638" t="str">
        <x:v>Contract</x:v>
      </x:c>
      <x:c r="D638" t="str">
        <x:v>Group A</x:v>
      </x:c>
      <x:c r="E638" s="26" t="n">
        <x:v>27869.68</x:v>
      </x:c>
      <x:c r="F638" t="n">
        <x:v>0</x:v>
      </x:c>
      <x:c r="G638" s="25" t="n">
        <x:v>0.297274</x:v>
      </x:c>
      <x:c r="H638" t="n">
        <x:f>IF(G638&lt;$B$6,1,0)</x:f>
        <x:v>0</x:v>
      </x:c>
      <x:c r="I638" s="26" t="n">
        <x:f>H638*IF(F638=0,E638*$B$7,-E638*$B$8)</x:f>
        <x:v>0</x:v>
      </x:c>
    </x:row>
    <x:row r="639">
      <x:c r="A639" t="n">
        <x:v>5517</x:v>
      </x:c>
      <x:c r="B639" t="str">
        <x:v>2024-08</x:v>
      </x:c>
      <x:c r="C639" t="str">
        <x:v>Self employed</x:v>
      </x:c>
      <x:c r="D639" t="str">
        <x:v>Group A</x:v>
      </x:c>
      <x:c r="E639" s="26" t="n">
        <x:v>7602.25</x:v>
      </x:c>
      <x:c r="F639" t="n">
        <x:v>0</x:v>
      </x:c>
      <x:c r="G639" s="25" t="n">
        <x:v>0.081678</x:v>
      </x:c>
      <x:c r="H639" t="n">
        <x:f>IF(G639&lt;$B$6,1,0)</x:f>
        <x:v>1</x:v>
      </x:c>
      <x:c r="I639" s="26" t="n">
        <x:f>H639*IF(F639=0,E639*$B$7,-E639*$B$8)</x:f>
        <x:v>912.27</x:v>
      </x:c>
    </x:row>
    <x:row r="640">
      <x:c r="A640" t="n">
        <x:v>5525</x:v>
      </x:c>
      <x:c r="B640" t="str">
        <x:v>2024-08</x:v>
      </x:c>
      <x:c r="C640" t="str">
        <x:v>Self employed</x:v>
      </x:c>
      <x:c r="D640" t="str">
        <x:v>Group A</x:v>
      </x:c>
      <x:c r="E640" s="26" t="n">
        <x:v>5234.22</x:v>
      </x:c>
      <x:c r="F640" t="n">
        <x:v>1</x:v>
      </x:c>
      <x:c r="G640" s="25" t="n">
        <x:v>0.755158</x:v>
      </x:c>
      <x:c r="H640" t="n">
        <x:f>IF(G640&lt;$B$6,1,0)</x:f>
        <x:v>0</x:v>
      </x:c>
      <x:c r="I640" s="26" t="n">
        <x:f>H640*IF(F640=0,E640*$B$7,-E640*$B$8)</x:f>
        <x:v>0</x:v>
      </x:c>
    </x:row>
    <x:row r="641">
      <x:c r="A641" t="n">
        <x:v>5598</x:v>
      </x:c>
      <x:c r="B641" t="str">
        <x:v>2024-08</x:v>
      </x:c>
      <x:c r="C641" t="str">
        <x:v>Salaried</x:v>
      </x:c>
      <x:c r="D641" t="str">
        <x:v>Group A</x:v>
      </x:c>
      <x:c r="E641" s="26" t="n">
        <x:v>8430.31</x:v>
      </x:c>
      <x:c r="F641" t="n">
        <x:v>0</x:v>
      </x:c>
      <x:c r="G641" s="25" t="n">
        <x:v>0.034863</x:v>
      </x:c>
      <x:c r="H641" t="n">
        <x:f>IF(G641&lt;$B$6,1,0)</x:f>
        <x:v>1</x:v>
      </x:c>
      <x:c r="I641" s="26" t="n">
        <x:f>H641*IF(F641=0,E641*$B$7,-E641*$B$8)</x:f>
        <x:v>1011.6371999999999</x:v>
      </x:c>
    </x:row>
    <x:row r="642">
      <x:c r="A642" t="n">
        <x:v>5600</x:v>
      </x:c>
      <x:c r="B642" t="str">
        <x:v>2024-08</x:v>
      </x:c>
      <x:c r="C642" t="str">
        <x:v>Salaried</x:v>
      </x:c>
      <x:c r="D642" t="str">
        <x:v>Group B</x:v>
      </x:c>
      <x:c r="E642" s="26" t="n">
        <x:v>2826.61</x:v>
      </x:c>
      <x:c r="F642" t="n">
        <x:v>1</x:v>
      </x:c>
      <x:c r="G642" s="25" t="n">
        <x:v>0.243243</x:v>
      </x:c>
      <x:c r="H642" t="n">
        <x:f>IF(G642&lt;$B$6,1,0)</x:f>
        <x:v>0</x:v>
      </x:c>
      <x:c r="I642" s="26" t="n">
        <x:f>H642*IF(F642=0,E642*$B$7,-E642*$B$8)</x:f>
        <x:v>0</x:v>
      </x:c>
    </x:row>
    <x:row r="643">
      <x:c r="A643" t="n">
        <x:v>5645</x:v>
      </x:c>
      <x:c r="B643" t="str">
        <x:v>2024-08</x:v>
      </x:c>
      <x:c r="C643" t="str">
        <x:v>Self employed</x:v>
      </x:c>
      <x:c r="D643" t="str">
        <x:v>Group B</x:v>
      </x:c>
      <x:c r="E643" s="26" t="n">
        <x:v>23447.1</x:v>
      </x:c>
      <x:c r="F643" t="n">
        <x:v>1</x:v>
      </x:c>
      <x:c r="G643" s="25" t="n">
        <x:v>0.218444</x:v>
      </x:c>
      <x:c r="H643" t="n">
        <x:f>IF(G643&lt;$B$6,1,0)</x:f>
        <x:v>0</x:v>
      </x:c>
      <x:c r="I643" s="26" t="n">
        <x:f>H643*IF(F643=0,E643*$B$7,-E643*$B$8)</x:f>
        <x:v>0</x:v>
      </x:c>
    </x:row>
    <x:row r="644">
      <x:c r="A644" t="n">
        <x:v>5685</x:v>
      </x:c>
      <x:c r="B644" t="str">
        <x:v>2024-08</x:v>
      </x:c>
      <x:c r="C644" t="str">
        <x:v>Salaried</x:v>
      </x:c>
      <x:c r="D644" t="str">
        <x:v>Group A</x:v>
      </x:c>
      <x:c r="E644" s="26" t="n">
        <x:v>9327.47</x:v>
      </x:c>
      <x:c r="F644" t="n">
        <x:v>0</x:v>
      </x:c>
      <x:c r="G644" s="25" t="n">
        <x:v>0.198796</x:v>
      </x:c>
      <x:c r="H644" t="n">
        <x:f>IF(G644&lt;$B$6,1,0)</x:f>
        <x:v>0</x:v>
      </x:c>
      <x:c r="I644" s="26" t="n">
        <x:f>H644*IF(F644=0,E644*$B$7,-E644*$B$8)</x:f>
        <x:v>0</x:v>
      </x:c>
    </x:row>
    <x:row r="645">
      <x:c r="A645" t="n">
        <x:v>5777</x:v>
      </x:c>
      <x:c r="B645" t="str">
        <x:v>2024-08</x:v>
      </x:c>
      <x:c r="C645" t="str">
        <x:v>Contract</x:v>
      </x:c>
      <x:c r="D645" t="str">
        <x:v>Group A</x:v>
      </x:c>
      <x:c r="E645" s="26" t="n">
        <x:v>6066.2</x:v>
      </x:c>
      <x:c r="F645" t="n">
        <x:v>0</x:v>
      </x:c>
      <x:c r="G645" s="25" t="n">
        <x:v>0.178587</x:v>
      </x:c>
      <x:c r="H645" t="n">
        <x:f>IF(G645&lt;$B$6,1,0)</x:f>
        <x:v>0</x:v>
      </x:c>
      <x:c r="I645" s="26" t="n">
        <x:f>H645*IF(F645=0,E645*$B$7,-E645*$B$8)</x:f>
        <x:v>0</x:v>
      </x:c>
    </x:row>
    <x:row r="646">
      <x:c r="A646" t="n">
        <x:v>5778</x:v>
      </x:c>
      <x:c r="B646" t="str">
        <x:v>2024-08</x:v>
      </x:c>
      <x:c r="C646" t="str">
        <x:v>Contract</x:v>
      </x:c>
      <x:c r="D646" t="str">
        <x:v>Group A</x:v>
      </x:c>
      <x:c r="E646" s="26" t="n">
        <x:v>26950.45</x:v>
      </x:c>
      <x:c r="F646" t="n">
        <x:v>1</x:v>
      </x:c>
      <x:c r="G646" s="25" t="n">
        <x:v>0.410308</x:v>
      </x:c>
      <x:c r="H646" t="n">
        <x:f>IF(G646&lt;$B$6,1,0)</x:f>
        <x:v>0</x:v>
      </x:c>
      <x:c r="I646" s="26" t="n">
        <x:f>H646*IF(F646=0,E646*$B$7,-E646*$B$8)</x:f>
        <x:v>0</x:v>
      </x:c>
    </x:row>
    <x:row r="647">
      <x:c r="A647" t="n">
        <x:v>5797</x:v>
      </x:c>
      <x:c r="B647" t="str">
        <x:v>2024-08</x:v>
      </x:c>
      <x:c r="C647" t="str">
        <x:v>Self employed</x:v>
      </x:c>
      <x:c r="D647" t="str">
        <x:v>Group A</x:v>
      </x:c>
      <x:c r="E647" s="26" t="n">
        <x:v>21401.44</x:v>
      </x:c>
      <x:c r="F647" t="n">
        <x:v>0</x:v>
      </x:c>
      <x:c r="G647" s="25" t="n">
        <x:v>0.148204</x:v>
      </x:c>
      <x:c r="H647" t="n">
        <x:f>IF(G647&lt;$B$6,1,0)</x:f>
        <x:v>1</x:v>
      </x:c>
      <x:c r="I647" s="26" t="n">
        <x:f>H647*IF(F647=0,E647*$B$7,-E647*$B$8)</x:f>
        <x:v>2568.1728</x:v>
      </x:c>
    </x:row>
    <x:row r="648">
      <x:c r="A648" t="n">
        <x:v>5838</x:v>
      </x:c>
      <x:c r="B648" t="str">
        <x:v>2024-08</x:v>
      </x:c>
      <x:c r="C648" t="str">
        <x:v>Salaried</x:v>
      </x:c>
      <x:c r="D648" t="str">
        <x:v>Group A</x:v>
      </x:c>
      <x:c r="E648" s="26" t="n">
        <x:v>14830.95</x:v>
      </x:c>
      <x:c r="F648" t="n">
        <x:v>0</x:v>
      </x:c>
      <x:c r="G648" s="25" t="n">
        <x:v>0.312761</x:v>
      </x:c>
      <x:c r="H648" t="n">
        <x:f>IF(G648&lt;$B$6,1,0)</x:f>
        <x:v>0</x:v>
      </x:c>
      <x:c r="I648" s="26" t="n">
        <x:f>H648*IF(F648=0,E648*$B$7,-E648*$B$8)</x:f>
        <x:v>0</x:v>
      </x:c>
    </x:row>
    <x:row r="649">
      <x:c r="A649" t="n">
        <x:v>5869</x:v>
      </x:c>
      <x:c r="B649" t="str">
        <x:v>2024-08</x:v>
      </x:c>
      <x:c r="C649" t="str">
        <x:v>Self employed</x:v>
      </x:c>
      <x:c r="D649" t="str">
        <x:v>Group B</x:v>
      </x:c>
      <x:c r="E649" s="26" t="n">
        <x:v>22163.35</x:v>
      </x:c>
      <x:c r="F649" t="n">
        <x:v>0</x:v>
      </x:c>
      <x:c r="G649" s="25" t="n">
        <x:v>0.14887</x:v>
      </x:c>
      <x:c r="H649" t="n">
        <x:f>IF(G649&lt;$B$6,1,0)</x:f>
        <x:v>1</x:v>
      </x:c>
      <x:c r="I649" s="26" t="n">
        <x:f>H649*IF(F649=0,E649*$B$7,-E649*$B$8)</x:f>
        <x:v>2659.602</x:v>
      </x:c>
    </x:row>
    <x:row r="650">
      <x:c r="A650" t="n">
        <x:v>5927</x:v>
      </x:c>
      <x:c r="B650" t="str">
        <x:v>2024-08</x:v>
      </x:c>
      <x:c r="C650" t="str">
        <x:v>Self employed</x:v>
      </x:c>
      <x:c r="D650" t="str">
        <x:v>Group B</x:v>
      </x:c>
      <x:c r="E650" s="26" t="n">
        <x:v>25392.45</x:v>
      </x:c>
      <x:c r="F650" t="n">
        <x:v>0</x:v>
      </x:c>
      <x:c r="G650" s="25" t="n">
        <x:v>0.562395</x:v>
      </x:c>
      <x:c r="H650" t="n">
        <x:f>IF(G650&lt;$B$6,1,0)</x:f>
        <x:v>0</x:v>
      </x:c>
      <x:c r="I650" s="26" t="n">
        <x:f>H650*IF(F650=0,E650*$B$7,-E650*$B$8)</x:f>
        <x:v>0</x:v>
      </x:c>
    </x:row>
    <x:row r="651">
      <x:c r="A651" t="n">
        <x:v>5951</x:v>
      </x:c>
      <x:c r="B651" t="str">
        <x:v>2024-08</x:v>
      </x:c>
      <x:c r="C651" t="str">
        <x:v>Salaried</x:v>
      </x:c>
      <x:c r="D651" t="str">
        <x:v>Group B</x:v>
      </x:c>
      <x:c r="E651" s="26" t="n">
        <x:v>15680.1</x:v>
      </x:c>
      <x:c r="F651" t="n">
        <x:v>0</x:v>
      </x:c>
      <x:c r="G651" s="25" t="n">
        <x:v>0.105296</x:v>
      </x:c>
      <x:c r="H651" t="n">
        <x:f>IF(G651&lt;$B$6,1,0)</x:f>
        <x:v>1</x:v>
      </x:c>
      <x:c r="I651" s="26" t="n">
        <x:f>H651*IF(F651=0,E651*$B$7,-E651*$B$8)</x:f>
        <x:v>1881.612</x:v>
      </x:c>
    </x:row>
    <x:row r="652">
      <x:c r="A652" t="n">
        <x:v>5964</x:v>
      </x:c>
      <x:c r="B652" t="str">
        <x:v>2024-08</x:v>
      </x:c>
      <x:c r="C652" t="str">
        <x:v>Salaried</x:v>
      </x:c>
      <x:c r="D652" t="str">
        <x:v>Group A</x:v>
      </x:c>
      <x:c r="E652" s="26" t="n">
        <x:v>4757.92</x:v>
      </x:c>
      <x:c r="F652" t="n">
        <x:v>0</x:v>
      </x:c>
      <x:c r="G652" s="25" t="n">
        <x:v>0.426607</x:v>
      </x:c>
      <x:c r="H652" t="n">
        <x:f>IF(G652&lt;$B$6,1,0)</x:f>
        <x:v>0</x:v>
      </x:c>
      <x:c r="I652" s="26" t="n">
        <x:f>H652*IF(F652=0,E652*$B$7,-E652*$B$8)</x:f>
        <x:v>0</x:v>
      </x:c>
    </x:row>
    <x:row r="653">
      <x:c r="A653" t="n">
        <x:v>5979</x:v>
      </x:c>
      <x:c r="B653" t="str">
        <x:v>2024-08</x:v>
      </x:c>
      <x:c r="C653" t="str">
        <x:v>Salaried</x:v>
      </x:c>
      <x:c r="D653" t="str">
        <x:v>Group B</x:v>
      </x:c>
      <x:c r="E653" s="26" t="n">
        <x:v>31538.13</x:v>
      </x:c>
      <x:c r="F653" t="n">
        <x:v>1</x:v>
      </x:c>
      <x:c r="G653" s="25" t="n">
        <x:v>0.372328</x:v>
      </x:c>
      <x:c r="H653" t="n">
        <x:f>IF(G653&lt;$B$6,1,0)</x:f>
        <x:v>0</x:v>
      </x:c>
      <x:c r="I653" s="26" t="n">
        <x:f>H653*IF(F653=0,E653*$B$7,-E653*$B$8)</x:f>
        <x:v>0</x:v>
      </x:c>
    </x:row>
    <x:row r="654">
      <x:c r="A654" t="n">
        <x:v>5987</x:v>
      </x:c>
      <x:c r="B654" t="str">
        <x:v>2024-08</x:v>
      </x:c>
      <x:c r="C654" t="str">
        <x:v>Salaried</x:v>
      </x:c>
      <x:c r="D654" t="str">
        <x:v>Group A</x:v>
      </x:c>
      <x:c r="E654" s="26" t="n">
        <x:v>5135.73</x:v>
      </x:c>
      <x:c r="F654" t="n">
        <x:v>0</x:v>
      </x:c>
      <x:c r="G654" s="25" t="n">
        <x:v>0.155001</x:v>
      </x:c>
      <x:c r="H654" t="n">
        <x:f>IF(G654&lt;$B$6,1,0)</x:f>
        <x:v>1</x:v>
      </x:c>
      <x:c r="I654" s="26" t="n">
        <x:f>H654*IF(F654=0,E654*$B$7,-E654*$B$8)</x:f>
        <x:v>616.2875999999999</x:v>
      </x:c>
    </x:row>
    <x:row r="655">
      <x:c r="A655" t="n">
        <x:v>5989</x:v>
      </x:c>
      <x:c r="B655" t="str">
        <x:v>2024-08</x:v>
      </x:c>
      <x:c r="C655" t="str">
        <x:v>Salaried</x:v>
      </x:c>
      <x:c r="D655" t="str">
        <x:v>Group A</x:v>
      </x:c>
      <x:c r="E655" s="26" t="n">
        <x:v>11611.35</x:v>
      </x:c>
      <x:c r="F655" t="n">
        <x:v>0</x:v>
      </x:c>
      <x:c r="G655" s="25" t="n">
        <x:v>0.451616</x:v>
      </x:c>
      <x:c r="H655" t="n">
        <x:f>IF(G655&lt;$B$6,1,0)</x:f>
        <x:v>0</x:v>
      </x:c>
      <x:c r="I655" s="26" t="n">
        <x:f>H655*IF(F655=0,E655*$B$7,-E655*$B$8)</x:f>
        <x:v>0</x:v>
      </x:c>
    </x:row>
    <x:row r="656">
      <x:c r="A656" t="n">
        <x:v>6004</x:v>
      </x:c>
      <x:c r="B656" t="str">
        <x:v>2024-08</x:v>
      </x:c>
      <x:c r="C656" t="str">
        <x:v>Salaried</x:v>
      </x:c>
      <x:c r="D656" t="str">
        <x:v>Group B</x:v>
      </x:c>
      <x:c r="E656" s="26" t="n">
        <x:v>22182.72</x:v>
      </x:c>
      <x:c r="F656" t="n">
        <x:v>0</x:v>
      </x:c>
      <x:c r="G656" s="25" t="n">
        <x:v>0.321675</x:v>
      </x:c>
      <x:c r="H656" t="n">
        <x:f>IF(G656&lt;$B$6,1,0)</x:f>
        <x:v>0</x:v>
      </x:c>
      <x:c r="I656" s="26" t="n">
        <x:f>H656*IF(F656=0,E656*$B$7,-E656*$B$8)</x:f>
        <x:v>0</x:v>
      </x:c>
    </x:row>
    <x:row r="657">
      <x:c r="A657" t="n">
        <x:v>6070</x:v>
      </x:c>
      <x:c r="B657" t="str">
        <x:v>2024-08</x:v>
      </x:c>
      <x:c r="C657" t="str">
        <x:v>Salaried</x:v>
      </x:c>
      <x:c r="D657" t="str">
        <x:v>Group B</x:v>
      </x:c>
      <x:c r="E657" s="26" t="n">
        <x:v>18427.5</x:v>
      </x:c>
      <x:c r="F657" t="n">
        <x:v>0</x:v>
      </x:c>
      <x:c r="G657" s="25" t="n">
        <x:v>0.362921</x:v>
      </x:c>
      <x:c r="H657" t="n">
        <x:f>IF(G657&lt;$B$6,1,0)</x:f>
        <x:v>0</x:v>
      </x:c>
      <x:c r="I657" s="26" t="n">
        <x:f>H657*IF(F657=0,E657*$B$7,-E657*$B$8)</x:f>
        <x:v>0</x:v>
      </x:c>
    </x:row>
    <x:row r="658">
      <x:c r="A658" t="n">
        <x:v>6081</x:v>
      </x:c>
      <x:c r="B658" t="str">
        <x:v>2024-08</x:v>
      </x:c>
      <x:c r="C658" t="str">
        <x:v>Salaried</x:v>
      </x:c>
      <x:c r="D658" t="str">
        <x:v>Group B</x:v>
      </x:c>
      <x:c r="E658" s="26" t="n">
        <x:v>10984.66</x:v>
      </x:c>
      <x:c r="F658" t="n">
        <x:v>0</x:v>
      </x:c>
      <x:c r="G658" s="25" t="n">
        <x:v>0.114699</x:v>
      </x:c>
      <x:c r="H658" t="n">
        <x:f>IF(G658&lt;$B$6,1,0)</x:f>
        <x:v>1</x:v>
      </x:c>
      <x:c r="I658" s="26" t="n">
        <x:f>H658*IF(F658=0,E658*$B$7,-E658*$B$8)</x:f>
        <x:v>1318.1591999999998</x:v>
      </x:c>
    </x:row>
    <x:row r="659">
      <x:c r="A659" t="n">
        <x:v>6120</x:v>
      </x:c>
      <x:c r="B659" t="str">
        <x:v>2024-08</x:v>
      </x:c>
      <x:c r="C659" t="str">
        <x:v>Self employed</x:v>
      </x:c>
      <x:c r="D659" t="str">
        <x:v>Group B</x:v>
      </x:c>
      <x:c r="E659" s="26" t="n">
        <x:v>31073.09</x:v>
      </x:c>
      <x:c r="F659" t="n">
        <x:v>0</x:v>
      </x:c>
      <x:c r="G659" s="25" t="n">
        <x:v>0.550481</x:v>
      </x:c>
      <x:c r="H659" t="n">
        <x:f>IF(G659&lt;$B$6,1,0)</x:f>
        <x:v>0</x:v>
      </x:c>
      <x:c r="I659" s="26" t="n">
        <x:f>H659*IF(F659=0,E659*$B$7,-E659*$B$8)</x:f>
        <x:v>0</x:v>
      </x:c>
    </x:row>
    <x:row r="660">
      <x:c r="A660" t="n">
        <x:v>6145</x:v>
      </x:c>
      <x:c r="B660" t="str">
        <x:v>2024-08</x:v>
      </x:c>
      <x:c r="C660" t="str">
        <x:v>Salaried</x:v>
      </x:c>
      <x:c r="D660" t="str">
        <x:v>Group B</x:v>
      </x:c>
      <x:c r="E660" s="26" t="n">
        <x:v>27487.78</x:v>
      </x:c>
      <x:c r="F660" t="n">
        <x:v>0</x:v>
      </x:c>
      <x:c r="G660" s="25" t="n">
        <x:v>0.120328</x:v>
      </x:c>
      <x:c r="H660" t="n">
        <x:f>IF(G660&lt;$B$6,1,0)</x:f>
        <x:v>1</x:v>
      </x:c>
      <x:c r="I660" s="26" t="n">
        <x:f>H660*IF(F660=0,E660*$B$7,-E660*$B$8)</x:f>
        <x:v>3298.5335999999998</x:v>
      </x:c>
    </x:row>
    <x:row r="661">
      <x:c r="A661" t="n">
        <x:v>6183</x:v>
      </x:c>
      <x:c r="B661" t="str">
        <x:v>2024-08</x:v>
      </x:c>
      <x:c r="C661" t="str">
        <x:v>Salaried</x:v>
      </x:c>
      <x:c r="D661" t="str">
        <x:v>Group B</x:v>
      </x:c>
      <x:c r="E661" s="26" t="n">
        <x:v>5443.14</x:v>
      </x:c>
      <x:c r="F661" t="n">
        <x:v>0</x:v>
      </x:c>
      <x:c r="G661" s="25" t="n">
        <x:v>0.038848</x:v>
      </x:c>
      <x:c r="H661" t="n">
        <x:f>IF(G661&lt;$B$6,1,0)</x:f>
        <x:v>1</x:v>
      </x:c>
      <x:c r="I661" s="26" t="n">
        <x:f>H661*IF(F661=0,E661*$B$7,-E661*$B$8)</x:f>
        <x:v>653.1768000000001</x:v>
      </x:c>
    </x:row>
    <x:row r="662">
      <x:c r="A662" t="n">
        <x:v>6217</x:v>
      </x:c>
      <x:c r="B662" t="str">
        <x:v>2024-08</x:v>
      </x:c>
      <x:c r="C662" t="str">
        <x:v>Salaried</x:v>
      </x:c>
      <x:c r="D662" t="str">
        <x:v>Group B</x:v>
      </x:c>
      <x:c r="E662" s="26" t="n">
        <x:v>8136.51</x:v>
      </x:c>
      <x:c r="F662" t="n">
        <x:v>1</x:v>
      </x:c>
      <x:c r="G662" s="25" t="n">
        <x:v>0.29942</x:v>
      </x:c>
      <x:c r="H662" t="n">
        <x:f>IF(G662&lt;$B$6,1,0)</x:f>
        <x:v>0</x:v>
      </x:c>
      <x:c r="I662" s="26" t="n">
        <x:f>H662*IF(F662=0,E662*$B$7,-E662*$B$8)</x:f>
        <x:v>0</x:v>
      </x:c>
    </x:row>
    <x:row r="663">
      <x:c r="A663" t="n">
        <x:v>6275</x:v>
      </x:c>
      <x:c r="B663" t="str">
        <x:v>2024-08</x:v>
      </x:c>
      <x:c r="C663" t="str">
        <x:v>Salaried</x:v>
      </x:c>
      <x:c r="D663" t="str">
        <x:v>Group B</x:v>
      </x:c>
      <x:c r="E663" s="26" t="n">
        <x:v>21227.27</x:v>
      </x:c>
      <x:c r="F663" t="n">
        <x:v>1</x:v>
      </x:c>
      <x:c r="G663" s="25" t="n">
        <x:v>0.311229</x:v>
      </x:c>
      <x:c r="H663" t="n">
        <x:f>IF(G663&lt;$B$6,1,0)</x:f>
        <x:v>0</x:v>
      </x:c>
      <x:c r="I663" s="26" t="n">
        <x:f>H663*IF(F663=0,E663*$B$7,-E663*$B$8)</x:f>
        <x:v>0</x:v>
      </x:c>
    </x:row>
    <x:row r="664">
      <x:c r="A664" t="n">
        <x:v>6294</x:v>
      </x:c>
      <x:c r="B664" t="str">
        <x:v>2024-08</x:v>
      </x:c>
      <x:c r="C664" t="str">
        <x:v>Salaried</x:v>
      </x:c>
      <x:c r="D664" t="str">
        <x:v>Group A</x:v>
      </x:c>
      <x:c r="E664" s="26" t="n">
        <x:v>18259.39</x:v>
      </x:c>
      <x:c r="F664" t="n">
        <x:v>1</x:v>
      </x:c>
      <x:c r="G664" s="25" t="n">
        <x:v>0.402675</x:v>
      </x:c>
      <x:c r="H664" t="n">
        <x:f>IF(G664&lt;$B$6,1,0)</x:f>
        <x:v>0</x:v>
      </x:c>
      <x:c r="I664" s="26" t="n">
        <x:f>H664*IF(F664=0,E664*$B$7,-E664*$B$8)</x:f>
        <x:v>0</x:v>
      </x:c>
    </x:row>
    <x:row r="665">
      <x:c r="A665" t="n">
        <x:v>6355</x:v>
      </x:c>
      <x:c r="B665" t="str">
        <x:v>2024-08</x:v>
      </x:c>
      <x:c r="C665" t="str">
        <x:v>Salaried</x:v>
      </x:c>
      <x:c r="D665" t="str">
        <x:v>Group A</x:v>
      </x:c>
      <x:c r="E665" s="26" t="n">
        <x:v>14319.1</x:v>
      </x:c>
      <x:c r="F665" t="n">
        <x:v>0</x:v>
      </x:c>
      <x:c r="G665" s="25" t="n">
        <x:v>0.007954</x:v>
      </x:c>
      <x:c r="H665" t="n">
        <x:f>IF(G665&lt;$B$6,1,0)</x:f>
        <x:v>1</x:v>
      </x:c>
      <x:c r="I665" s="26" t="n">
        <x:f>H665*IF(F665=0,E665*$B$7,-E665*$B$8)</x:f>
        <x:v>1718.292</x:v>
      </x:c>
    </x:row>
    <x:row r="666">
      <x:c r="A666" t="n">
        <x:v>6360</x:v>
      </x:c>
      <x:c r="B666" t="str">
        <x:v>2024-08</x:v>
      </x:c>
      <x:c r="C666" t="str">
        <x:v>Self employed</x:v>
      </x:c>
      <x:c r="D666" t="str">
        <x:v>Group B</x:v>
      </x:c>
      <x:c r="E666" s="26" t="n">
        <x:v>7961.13</x:v>
      </x:c>
      <x:c r="F666" t="n">
        <x:v>0</x:v>
      </x:c>
      <x:c r="G666" s="25" t="n">
        <x:v>0.380802</x:v>
      </x:c>
      <x:c r="H666" t="n">
        <x:f>IF(G666&lt;$B$6,1,0)</x:f>
        <x:v>0</x:v>
      </x:c>
      <x:c r="I666" s="26" t="n">
        <x:f>H666*IF(F666=0,E666*$B$7,-E666*$B$8)</x:f>
        <x:v>0</x:v>
      </x:c>
    </x:row>
    <x:row r="667">
      <x:c r="A667" t="n">
        <x:v>6378</x:v>
      </x:c>
      <x:c r="B667" t="str">
        <x:v>2024-08</x:v>
      </x:c>
      <x:c r="C667" t="str">
        <x:v>Salaried</x:v>
      </x:c>
      <x:c r="D667" t="str">
        <x:v>Group A</x:v>
      </x:c>
      <x:c r="E667" s="26" t="n">
        <x:v>23085.72</x:v>
      </x:c>
      <x:c r="F667" t="n">
        <x:v>0</x:v>
      </x:c>
      <x:c r="G667" s="25" t="n">
        <x:v>0.094096</x:v>
      </x:c>
      <x:c r="H667" t="n">
        <x:f>IF(G667&lt;$B$6,1,0)</x:f>
        <x:v>1</x:v>
      </x:c>
      <x:c r="I667" s="26" t="n">
        <x:f>H667*IF(F667=0,E667*$B$7,-E667*$B$8)</x:f>
        <x:v>2770.2864</x:v>
      </x:c>
    </x:row>
    <x:row r="668">
      <x:c r="A668" t="n">
        <x:v>6381</x:v>
      </x:c>
      <x:c r="B668" t="str">
        <x:v>2024-08</x:v>
      </x:c>
      <x:c r="C668" t="str">
        <x:v>Salaried</x:v>
      </x:c>
      <x:c r="D668" t="str">
        <x:v>Group B</x:v>
      </x:c>
      <x:c r="E668" s="26" t="n">
        <x:v>13803.26</x:v>
      </x:c>
      <x:c r="F668" t="n">
        <x:v>0</x:v>
      </x:c>
      <x:c r="G668" s="25" t="n">
        <x:v>0.355576</x:v>
      </x:c>
      <x:c r="H668" t="n">
        <x:f>IF(G668&lt;$B$6,1,0)</x:f>
        <x:v>0</x:v>
      </x:c>
      <x:c r="I668" s="26" t="n">
        <x:f>H668*IF(F668=0,E668*$B$7,-E668*$B$8)</x:f>
        <x:v>0</x:v>
      </x:c>
    </x:row>
    <x:row r="669">
      <x:c r="A669" t="n">
        <x:v>6384</x:v>
      </x:c>
      <x:c r="B669" t="str">
        <x:v>2024-08</x:v>
      </x:c>
      <x:c r="C669" t="str">
        <x:v>Salaried</x:v>
      </x:c>
      <x:c r="D669" t="str">
        <x:v>Group B</x:v>
      </x:c>
      <x:c r="E669" s="26" t="n">
        <x:v>10182.97</x:v>
      </x:c>
      <x:c r="F669" t="n">
        <x:v>1</x:v>
      </x:c>
      <x:c r="G669" s="25" t="n">
        <x:v>0.364033</x:v>
      </x:c>
      <x:c r="H669" t="n">
        <x:f>IF(G669&lt;$B$6,1,0)</x:f>
        <x:v>0</x:v>
      </x:c>
      <x:c r="I669" s="26" t="n">
        <x:f>H669*IF(F669=0,E669*$B$7,-E669*$B$8)</x:f>
        <x:v>0</x:v>
      </x:c>
    </x:row>
    <x:row r="670">
      <x:c r="A670" t="n">
        <x:v>6443</x:v>
      </x:c>
      <x:c r="B670" t="str">
        <x:v>2024-08</x:v>
      </x:c>
      <x:c r="C670" t="str">
        <x:v>Salaried</x:v>
      </x:c>
      <x:c r="D670" t="str">
        <x:v>Group B</x:v>
      </x:c>
      <x:c r="E670" s="26" t="n">
        <x:v>27322.93</x:v>
      </x:c>
      <x:c r="F670" t="n">
        <x:v>0</x:v>
      </x:c>
      <x:c r="G670" s="25" t="n">
        <x:v>0.074353</x:v>
      </x:c>
      <x:c r="H670" t="n">
        <x:f>IF(G670&lt;$B$6,1,0)</x:f>
        <x:v>1</x:v>
      </x:c>
      <x:c r="I670" s="26" t="n">
        <x:f>H670*IF(F670=0,E670*$B$7,-E670*$B$8)</x:f>
        <x:v>3278.7516</x:v>
      </x:c>
    </x:row>
    <x:row r="671">
      <x:c r="A671" t="n">
        <x:v>6446</x:v>
      </x:c>
      <x:c r="B671" t="str">
        <x:v>2024-08</x:v>
      </x:c>
      <x:c r="C671" t="str">
        <x:v>Contract</x:v>
      </x:c>
      <x:c r="D671" t="str">
        <x:v>Group B</x:v>
      </x:c>
      <x:c r="E671" s="26" t="n">
        <x:v>3851.53</x:v>
      </x:c>
      <x:c r="F671" t="n">
        <x:v>0</x:v>
      </x:c>
      <x:c r="G671" s="25" t="n">
        <x:v>0.542875</x:v>
      </x:c>
      <x:c r="H671" t="n">
        <x:f>IF(G671&lt;$B$6,1,0)</x:f>
        <x:v>0</x:v>
      </x:c>
      <x:c r="I671" s="26" t="n">
        <x:f>H671*IF(F671=0,E671*$B$7,-E671*$B$8)</x:f>
        <x:v>0</x:v>
      </x:c>
    </x:row>
    <x:row r="672">
      <x:c r="A672" t="n">
        <x:v>6447</x:v>
      </x:c>
      <x:c r="B672" t="str">
        <x:v>2024-08</x:v>
      </x:c>
      <x:c r="C672" t="str">
        <x:v>Salaried</x:v>
      </x:c>
      <x:c r="D672" t="str">
        <x:v>Group A</x:v>
      </x:c>
      <x:c r="E672" s="26" t="n">
        <x:v>22617.19</x:v>
      </x:c>
      <x:c r="F672" t="n">
        <x:v>1</x:v>
      </x:c>
      <x:c r="G672" s="25" t="n">
        <x:v>0.415666</x:v>
      </x:c>
      <x:c r="H672" t="n">
        <x:f>IF(G672&lt;$B$6,1,0)</x:f>
        <x:v>0</x:v>
      </x:c>
      <x:c r="I672" s="26" t="n">
        <x:f>H672*IF(F672=0,E672*$B$7,-E672*$B$8)</x:f>
        <x:v>0</x:v>
      </x:c>
    </x:row>
    <x:row r="673">
      <x:c r="A673" t="n">
        <x:v>6470</x:v>
      </x:c>
      <x:c r="B673" t="str">
        <x:v>2024-08</x:v>
      </x:c>
      <x:c r="C673" t="str">
        <x:v>Contract</x:v>
      </x:c>
      <x:c r="D673" t="str">
        <x:v>Group B</x:v>
      </x:c>
      <x:c r="E673" s="26" t="n">
        <x:v>34548.55</x:v>
      </x:c>
      <x:c r="F673" t="n">
        <x:v>0</x:v>
      </x:c>
      <x:c r="G673" s="25" t="n">
        <x:v>0.491468</x:v>
      </x:c>
      <x:c r="H673" t="n">
        <x:f>IF(G673&lt;$B$6,1,0)</x:f>
        <x:v>0</x:v>
      </x:c>
      <x:c r="I673" s="26" t="n">
        <x:f>H673*IF(F673=0,E673*$B$7,-E673*$B$8)</x:f>
        <x:v>0</x:v>
      </x:c>
    </x:row>
    <x:row r="674">
      <x:c r="A674" t="n">
        <x:v>6484</x:v>
      </x:c>
      <x:c r="B674" t="str">
        <x:v>2024-08</x:v>
      </x:c>
      <x:c r="C674" t="str">
        <x:v>Salaried</x:v>
      </x:c>
      <x:c r="D674" t="str">
        <x:v>Group A</x:v>
      </x:c>
      <x:c r="E674" s="26" t="n">
        <x:v>50471.73</x:v>
      </x:c>
      <x:c r="F674" t="n">
        <x:v>0</x:v>
      </x:c>
      <x:c r="G674" s="25" t="n">
        <x:v>0.509429</x:v>
      </x:c>
      <x:c r="H674" t="n">
        <x:f>IF(G674&lt;$B$6,1,0)</x:f>
        <x:v>0</x:v>
      </x:c>
      <x:c r="I674" s="26" t="n">
        <x:f>H674*IF(F674=0,E674*$B$7,-E674*$B$8)</x:f>
        <x:v>0</x:v>
      </x:c>
    </x:row>
    <x:row r="675">
      <x:c r="A675" t="n">
        <x:v>6500</x:v>
      </x:c>
      <x:c r="B675" t="str">
        <x:v>2024-08</x:v>
      </x:c>
      <x:c r="C675" t="str">
        <x:v>Salaried</x:v>
      </x:c>
      <x:c r="D675" t="str">
        <x:v>Group A</x:v>
      </x:c>
      <x:c r="E675" s="26" t="n">
        <x:v>19203.48</x:v>
      </x:c>
      <x:c r="F675" t="n">
        <x:v>0</x:v>
      </x:c>
      <x:c r="G675" s="25" t="n">
        <x:v>0.077639</x:v>
      </x:c>
      <x:c r="H675" t="n">
        <x:f>IF(G675&lt;$B$6,1,0)</x:f>
        <x:v>1</x:v>
      </x:c>
      <x:c r="I675" s="26" t="n">
        <x:f>H675*IF(F675=0,E675*$B$7,-E675*$B$8)</x:f>
        <x:v>2304.4175999999998</x:v>
      </x:c>
    </x:row>
    <x:row r="676">
      <x:c r="A676" t="n">
        <x:v>6503</x:v>
      </x:c>
      <x:c r="B676" t="str">
        <x:v>2024-08</x:v>
      </x:c>
      <x:c r="C676" t="str">
        <x:v>Salaried</x:v>
      </x:c>
      <x:c r="D676" t="str">
        <x:v>Group B</x:v>
      </x:c>
      <x:c r="E676" s="26" t="n">
        <x:v>16614.76</x:v>
      </x:c>
      <x:c r="F676" t="n">
        <x:v>0</x:v>
      </x:c>
      <x:c r="G676" s="25" t="n">
        <x:v>0.048576</x:v>
      </x:c>
      <x:c r="H676" t="n">
        <x:f>IF(G676&lt;$B$6,1,0)</x:f>
        <x:v>1</x:v>
      </x:c>
      <x:c r="I676" s="26" t="n">
        <x:f>H676*IF(F676=0,E676*$B$7,-E676*$B$8)</x:f>
        <x:v>1993.7711999999997</x:v>
      </x:c>
    </x:row>
    <x:row r="677">
      <x:c r="A677" t="n">
        <x:v>6526</x:v>
      </x:c>
      <x:c r="B677" t="str">
        <x:v>2024-08</x:v>
      </x:c>
      <x:c r="C677" t="str">
        <x:v>Self employed</x:v>
      </x:c>
      <x:c r="D677" t="str">
        <x:v>Group B</x:v>
      </x:c>
      <x:c r="E677" s="26" t="n">
        <x:v>25340.07</x:v>
      </x:c>
      <x:c r="F677" t="n">
        <x:v>0</x:v>
      </x:c>
      <x:c r="G677" s="25" t="n">
        <x:v>0.230352</x:v>
      </x:c>
      <x:c r="H677" t="n">
        <x:f>IF(G677&lt;$B$6,1,0)</x:f>
        <x:v>0</x:v>
      </x:c>
      <x:c r="I677" s="26" t="n">
        <x:f>H677*IF(F677=0,E677*$B$7,-E677*$B$8)</x:f>
        <x:v>0</x:v>
      </x:c>
    </x:row>
    <x:row r="678">
      <x:c r="A678" t="n">
        <x:v>6558</x:v>
      </x:c>
      <x:c r="B678" t="str">
        <x:v>2024-08</x:v>
      </x:c>
      <x:c r="C678" t="str">
        <x:v>Salaried</x:v>
      </x:c>
      <x:c r="D678" t="str">
        <x:v>Group A</x:v>
      </x:c>
      <x:c r="E678" s="26" t="n">
        <x:v>17525.39</x:v>
      </x:c>
      <x:c r="F678" t="n">
        <x:v>0</x:v>
      </x:c>
      <x:c r="G678" s="25" t="n">
        <x:v>0.072499</x:v>
      </x:c>
      <x:c r="H678" t="n">
        <x:f>IF(G678&lt;$B$6,1,0)</x:f>
        <x:v>1</x:v>
      </x:c>
      <x:c r="I678" s="26" t="n">
        <x:f>H678*IF(F678=0,E678*$B$7,-E678*$B$8)</x:f>
        <x:v>2103.0468</x:v>
      </x:c>
    </x:row>
    <x:row r="679">
      <x:c r="A679" t="n">
        <x:v>6568</x:v>
      </x:c>
      <x:c r="B679" t="str">
        <x:v>2024-08</x:v>
      </x:c>
      <x:c r="C679" t="str">
        <x:v>Salaried</x:v>
      </x:c>
      <x:c r="D679" t="str">
        <x:v>Group B</x:v>
      </x:c>
      <x:c r="E679" s="26" t="n">
        <x:v>12372.27</x:v>
      </x:c>
      <x:c r="F679" t="n">
        <x:v>1</x:v>
      </x:c>
      <x:c r="G679" s="25" t="n">
        <x:v>0.045447</x:v>
      </x:c>
      <x:c r="H679" t="n">
        <x:f>IF(G679&lt;$B$6,1,0)</x:f>
        <x:v>1</x:v>
      </x:c>
      <x:c r="I679" s="26" t="n">
        <x:f>H679*IF(F679=0,E679*$B$7,-E679*$B$8)</x:f>
        <x:v>-8041.9755000000005</x:v>
      </x:c>
    </x:row>
    <x:row r="680">
      <x:c r="A680" t="n">
        <x:v>6600</x:v>
      </x:c>
      <x:c r="B680" t="str">
        <x:v>2024-08</x:v>
      </x:c>
      <x:c r="C680" t="str">
        <x:v>Salaried</x:v>
      </x:c>
      <x:c r="D680" t="str">
        <x:v>Group A</x:v>
      </x:c>
      <x:c r="E680" s="26" t="n">
        <x:v>31051.86</x:v>
      </x:c>
      <x:c r="F680" t="n">
        <x:v>0</x:v>
      </x:c>
      <x:c r="G680" s="25" t="n">
        <x:v>0.18019</x:v>
      </x:c>
      <x:c r="H680" t="n">
        <x:f>IF(G680&lt;$B$6,1,0)</x:f>
        <x:v>0</x:v>
      </x:c>
      <x:c r="I680" s="26" t="n">
        <x:f>H680*IF(F680=0,E680*$B$7,-E680*$B$8)</x:f>
        <x:v>0</x:v>
      </x:c>
    </x:row>
    <x:row r="681">
      <x:c r="A681" t="n">
        <x:v>6647</x:v>
      </x:c>
      <x:c r="B681" t="str">
        <x:v>2024-08</x:v>
      </x:c>
      <x:c r="C681" t="str">
        <x:v>Salaried</x:v>
      </x:c>
      <x:c r="D681" t="str">
        <x:v>Group A</x:v>
      </x:c>
      <x:c r="E681" s="26" t="n">
        <x:v>6064.2</x:v>
      </x:c>
      <x:c r="F681" t="n">
        <x:v>0</x:v>
      </x:c>
      <x:c r="G681" s="25" t="n">
        <x:v>0.098712</x:v>
      </x:c>
      <x:c r="H681" t="n">
        <x:f>IF(G681&lt;$B$6,1,0)</x:f>
        <x:v>1</x:v>
      </x:c>
      <x:c r="I681" s="26" t="n">
        <x:f>H681*IF(F681=0,E681*$B$7,-E681*$B$8)</x:f>
        <x:v>727.704</x:v>
      </x:c>
    </x:row>
    <x:row r="682">
      <x:c r="A682" t="n">
        <x:v>6670</x:v>
      </x:c>
      <x:c r="B682" t="str">
        <x:v>2024-08</x:v>
      </x:c>
      <x:c r="C682" t="str">
        <x:v>Salaried</x:v>
      </x:c>
      <x:c r="D682" t="str">
        <x:v>Group A</x:v>
      </x:c>
      <x:c r="E682" s="26" t="n">
        <x:v>18653.83</x:v>
      </x:c>
      <x:c r="F682" t="n">
        <x:v>0</x:v>
      </x:c>
      <x:c r="G682" s="25" t="n">
        <x:v>0.192093</x:v>
      </x:c>
      <x:c r="H682" t="n">
        <x:f>IF(G682&lt;$B$6,1,0)</x:f>
        <x:v>0</x:v>
      </x:c>
      <x:c r="I682" s="26" t="n">
        <x:f>H682*IF(F682=0,E682*$B$7,-E682*$B$8)</x:f>
        <x:v>0</x:v>
      </x:c>
    </x:row>
    <x:row r="683">
      <x:c r="A683" t="n">
        <x:v>6683</x:v>
      </x:c>
      <x:c r="B683" t="str">
        <x:v>2024-08</x:v>
      </x:c>
      <x:c r="C683" t="str">
        <x:v>Salaried</x:v>
      </x:c>
      <x:c r="D683" t="str">
        <x:v>Group A</x:v>
      </x:c>
      <x:c r="E683" s="26" t="n">
        <x:v>7892.12</x:v>
      </x:c>
      <x:c r="F683" t="n">
        <x:v>0</x:v>
      </x:c>
      <x:c r="G683" s="25" t="n">
        <x:v>0.044232</x:v>
      </x:c>
      <x:c r="H683" t="n">
        <x:f>IF(G683&lt;$B$6,1,0)</x:f>
        <x:v>1</x:v>
      </x:c>
      <x:c r="I683" s="26" t="n">
        <x:f>H683*IF(F683=0,E683*$B$7,-E683*$B$8)</x:f>
        <x:v>947.0544</x:v>
      </x:c>
    </x:row>
    <x:row r="684">
      <x:c r="A684" t="n">
        <x:v>6731</x:v>
      </x:c>
      <x:c r="B684" t="str">
        <x:v>2024-08</x:v>
      </x:c>
      <x:c r="C684" t="str">
        <x:v>Salaried</x:v>
      </x:c>
      <x:c r="D684" t="str">
        <x:v>Group B</x:v>
      </x:c>
      <x:c r="E684" s="26" t="n">
        <x:v>12208.98</x:v>
      </x:c>
      <x:c r="F684" t="n">
        <x:v>0</x:v>
      </x:c>
      <x:c r="G684" s="25" t="n">
        <x:v>0.078761</x:v>
      </x:c>
      <x:c r="H684" t="n">
        <x:f>IF(G684&lt;$B$6,1,0)</x:f>
        <x:v>1</x:v>
      </x:c>
      <x:c r="I684" s="26" t="n">
        <x:f>H684*IF(F684=0,E684*$B$7,-E684*$B$8)</x:f>
        <x:v>1465.0775999999998</x:v>
      </x:c>
    </x:row>
    <x:row r="685">
      <x:c r="A685" t="n">
        <x:v>6743</x:v>
      </x:c>
      <x:c r="B685" t="str">
        <x:v>2024-08</x:v>
      </x:c>
      <x:c r="C685" t="str">
        <x:v>Salaried</x:v>
      </x:c>
      <x:c r="D685" t="str">
        <x:v>Group B</x:v>
      </x:c>
      <x:c r="E685" s="26" t="n">
        <x:v>46232.41</x:v>
      </x:c>
      <x:c r="F685" t="n">
        <x:v>1</x:v>
      </x:c>
      <x:c r="G685" s="25" t="n">
        <x:v>0.440683</x:v>
      </x:c>
      <x:c r="H685" t="n">
        <x:f>IF(G685&lt;$B$6,1,0)</x:f>
        <x:v>0</x:v>
      </x:c>
      <x:c r="I685" s="26" t="n">
        <x:f>H685*IF(F685=0,E685*$B$7,-E685*$B$8)</x:f>
        <x:v>0</x:v>
      </x:c>
    </x:row>
    <x:row r="686">
      <x:c r="A686" t="n">
        <x:v>6753</x:v>
      </x:c>
      <x:c r="B686" t="str">
        <x:v>2024-08</x:v>
      </x:c>
      <x:c r="C686" t="str">
        <x:v>Self employed</x:v>
      </x:c>
      <x:c r="D686" t="str">
        <x:v>Group A</x:v>
      </x:c>
      <x:c r="E686" s="26" t="n">
        <x:v>26435.58</x:v>
      </x:c>
      <x:c r="F686" t="n">
        <x:v>0</x:v>
      </x:c>
      <x:c r="G686" s="25" t="n">
        <x:v>0.127012</x:v>
      </x:c>
      <x:c r="H686" t="n">
        <x:f>IF(G686&lt;$B$6,1,0)</x:f>
        <x:v>1</x:v>
      </x:c>
      <x:c r="I686" s="26" t="n">
        <x:f>H686*IF(F686=0,E686*$B$7,-E686*$B$8)</x:f>
        <x:v>3172.2696</x:v>
      </x:c>
    </x:row>
    <x:row r="687">
      <x:c r="A687" t="n">
        <x:v>6775</x:v>
      </x:c>
      <x:c r="B687" t="str">
        <x:v>2024-08</x:v>
      </x:c>
      <x:c r="C687" t="str">
        <x:v>Salaried</x:v>
      </x:c>
      <x:c r="D687" t="str">
        <x:v>Group B</x:v>
      </x:c>
      <x:c r="E687" s="26" t="n">
        <x:v>17161.44</x:v>
      </x:c>
      <x:c r="F687" t="n">
        <x:v>0</x:v>
      </x:c>
      <x:c r="G687" s="25" t="n">
        <x:v>0.019155</x:v>
      </x:c>
      <x:c r="H687" t="n">
        <x:f>IF(G687&lt;$B$6,1,0)</x:f>
        <x:v>1</x:v>
      </x:c>
      <x:c r="I687" s="26" t="n">
        <x:f>H687*IF(F687=0,E687*$B$7,-E687*$B$8)</x:f>
        <x:v>2059.3727999999996</x:v>
      </x:c>
    </x:row>
    <x:row r="688">
      <x:c r="A688" t="n">
        <x:v>6778</x:v>
      </x:c>
      <x:c r="B688" t="str">
        <x:v>2024-08</x:v>
      </x:c>
      <x:c r="C688" t="str">
        <x:v>Salaried</x:v>
      </x:c>
      <x:c r="D688" t="str">
        <x:v>Group A</x:v>
      </x:c>
      <x:c r="E688" s="26" t="n">
        <x:v>40371.13</x:v>
      </x:c>
      <x:c r="F688" t="n">
        <x:v>1</x:v>
      </x:c>
      <x:c r="G688" s="25" t="n">
        <x:v>0.51018</x:v>
      </x:c>
      <x:c r="H688" t="n">
        <x:f>IF(G688&lt;$B$6,1,0)</x:f>
        <x:v>0</x:v>
      </x:c>
      <x:c r="I688" s="26" t="n">
        <x:f>H688*IF(F688=0,E688*$B$7,-E688*$B$8)</x:f>
        <x:v>0</x:v>
      </x:c>
    </x:row>
    <x:row r="689">
      <x:c r="A689" t="n">
        <x:v>6798</x:v>
      </x:c>
      <x:c r="B689" t="str">
        <x:v>2024-08</x:v>
      </x:c>
      <x:c r="C689" t="str">
        <x:v>Salaried</x:v>
      </x:c>
      <x:c r="D689" t="str">
        <x:v>Group A</x:v>
      </x:c>
      <x:c r="E689" s="26" t="n">
        <x:v>9701.74</x:v>
      </x:c>
      <x:c r="F689" t="n">
        <x:v>1</x:v>
      </x:c>
      <x:c r="G689" s="25" t="n">
        <x:v>0.340325</x:v>
      </x:c>
      <x:c r="H689" t="n">
        <x:f>IF(G689&lt;$B$6,1,0)</x:f>
        <x:v>0</x:v>
      </x:c>
      <x:c r="I689" s="26" t="n">
        <x:f>H689*IF(F689=0,E689*$B$7,-E689*$B$8)</x:f>
        <x:v>0</x:v>
      </x:c>
    </x:row>
    <x:row r="690">
      <x:c r="A690" t="n">
        <x:v>6800</x:v>
      </x:c>
      <x:c r="B690" t="str">
        <x:v>2024-08</x:v>
      </x:c>
      <x:c r="C690" t="str">
        <x:v>Salaried</x:v>
      </x:c>
      <x:c r="D690" t="str">
        <x:v>Group B</x:v>
      </x:c>
      <x:c r="E690" s="26" t="n">
        <x:v>18965.52</x:v>
      </x:c>
      <x:c r="F690" t="n">
        <x:v>0</x:v>
      </x:c>
      <x:c r="G690" s="25" t="n">
        <x:v>0.095625</x:v>
      </x:c>
      <x:c r="H690" t="n">
        <x:f>IF(G690&lt;$B$6,1,0)</x:f>
        <x:v>1</x:v>
      </x:c>
      <x:c r="I690" s="26" t="n">
        <x:f>H690*IF(F690=0,E690*$B$7,-E690*$B$8)</x:f>
        <x:v>2275.8624</x:v>
      </x:c>
    </x:row>
    <x:row r="691">
      <x:c r="A691" t="n">
        <x:v>6806</x:v>
      </x:c>
      <x:c r="B691" t="str">
        <x:v>2024-08</x:v>
      </x:c>
      <x:c r="C691" t="str">
        <x:v>Contract</x:v>
      </x:c>
      <x:c r="D691" t="str">
        <x:v>Group A</x:v>
      </x:c>
      <x:c r="E691" s="26" t="n">
        <x:v>34346.15</x:v>
      </x:c>
      <x:c r="F691" t="n">
        <x:v>1</x:v>
      </x:c>
      <x:c r="G691" s="25" t="n">
        <x:v>0.347447</x:v>
      </x:c>
      <x:c r="H691" t="n">
        <x:f>IF(G691&lt;$B$6,1,0)</x:f>
        <x:v>0</x:v>
      </x:c>
      <x:c r="I691" s="26" t="n">
        <x:f>H691*IF(F691=0,E691*$B$7,-E691*$B$8)</x:f>
        <x:v>0</x:v>
      </x:c>
    </x:row>
    <x:row r="692">
      <x:c r="A692" t="n">
        <x:v>6833</x:v>
      </x:c>
      <x:c r="B692" t="str">
        <x:v>2024-08</x:v>
      </x:c>
      <x:c r="C692" t="str">
        <x:v>Salaried</x:v>
      </x:c>
      <x:c r="D692" t="str">
        <x:v>Group A</x:v>
      </x:c>
      <x:c r="E692" s="26" t="n">
        <x:v>2903.22</x:v>
      </x:c>
      <x:c r="F692" t="n">
        <x:v>0</x:v>
      </x:c>
      <x:c r="G692" s="25" t="n">
        <x:v>0.086815</x:v>
      </x:c>
      <x:c r="H692" t="n">
        <x:f>IF(G692&lt;$B$6,1,0)</x:f>
        <x:v>1</x:v>
      </x:c>
      <x:c r="I692" s="26" t="n">
        <x:f>H692*IF(F692=0,E692*$B$7,-E692*$B$8)</x:f>
        <x:v>348.3864</x:v>
      </x:c>
    </x:row>
    <x:row r="693">
      <x:c r="A693" t="n">
        <x:v>6885</x:v>
      </x:c>
      <x:c r="B693" t="str">
        <x:v>2024-08</x:v>
      </x:c>
      <x:c r="C693" t="str">
        <x:v>Salaried</x:v>
      </x:c>
      <x:c r="D693" t="str">
        <x:v>Group A</x:v>
      </x:c>
      <x:c r="E693" s="26" t="n">
        <x:v>10647.43</x:v>
      </x:c>
      <x:c r="F693" t="n">
        <x:v>0</x:v>
      </x:c>
      <x:c r="G693" s="25" t="n">
        <x:v>0.168361</x:v>
      </x:c>
      <x:c r="H693" t="n">
        <x:f>IF(G693&lt;$B$6,1,0)</x:f>
        <x:v>0</x:v>
      </x:c>
      <x:c r="I693" s="26" t="n">
        <x:f>H693*IF(F693=0,E693*$B$7,-E693*$B$8)</x:f>
        <x:v>0</x:v>
      </x:c>
    </x:row>
    <x:row r="694">
      <x:c r="A694" t="n">
        <x:v>6889</x:v>
      </x:c>
      <x:c r="B694" t="str">
        <x:v>2024-08</x:v>
      </x:c>
      <x:c r="C694" t="str">
        <x:v>Salaried</x:v>
      </x:c>
      <x:c r="D694" t="str">
        <x:v>Group A</x:v>
      </x:c>
      <x:c r="E694" s="26" t="n">
        <x:v>42404.56</x:v>
      </x:c>
      <x:c r="F694" t="n">
        <x:v>1</x:v>
      </x:c>
      <x:c r="G694" s="25" t="n">
        <x:v>0.427558</x:v>
      </x:c>
      <x:c r="H694" t="n">
        <x:f>IF(G694&lt;$B$6,1,0)</x:f>
        <x:v>0</x:v>
      </x:c>
      <x:c r="I694" s="26" t="n">
        <x:f>H694*IF(F694=0,E694*$B$7,-E694*$B$8)</x:f>
        <x:v>0</x:v>
      </x:c>
    </x:row>
    <x:row r="695">
      <x:c r="A695" t="n">
        <x:v>6891</x:v>
      </x:c>
      <x:c r="B695" t="str">
        <x:v>2024-08</x:v>
      </x:c>
      <x:c r="C695" t="str">
        <x:v>Salaried</x:v>
      </x:c>
      <x:c r="D695" t="str">
        <x:v>Group B</x:v>
      </x:c>
      <x:c r="E695" s="26" t="n">
        <x:v>51314.82</x:v>
      </x:c>
      <x:c r="F695" t="n">
        <x:v>0</x:v>
      </x:c>
      <x:c r="G695" s="25" t="n">
        <x:v>0.190027</x:v>
      </x:c>
      <x:c r="H695" t="n">
        <x:f>IF(G695&lt;$B$6,1,0)</x:f>
        <x:v>0</x:v>
      </x:c>
      <x:c r="I695" s="26" t="n">
        <x:f>H695*IF(F695=0,E695*$B$7,-E695*$B$8)</x:f>
        <x:v>0</x:v>
      </x:c>
    </x:row>
    <x:row r="696">
      <x:c r="A696" t="n">
        <x:v>6925</x:v>
      </x:c>
      <x:c r="B696" t="str">
        <x:v>2024-08</x:v>
      </x:c>
      <x:c r="C696" t="str">
        <x:v>Self employed</x:v>
      </x:c>
      <x:c r="D696" t="str">
        <x:v>Group A</x:v>
      </x:c>
      <x:c r="E696" s="26" t="n">
        <x:v>33601.07</x:v>
      </x:c>
      <x:c r="F696" t="n">
        <x:v>0</x:v>
      </x:c>
      <x:c r="G696" s="25" t="n">
        <x:v>0.239224</x:v>
      </x:c>
      <x:c r="H696" t="n">
        <x:f>IF(G696&lt;$B$6,1,0)</x:f>
        <x:v>0</x:v>
      </x:c>
      <x:c r="I696" s="26" t="n">
        <x:f>H696*IF(F696=0,E696*$B$7,-E696*$B$8)</x:f>
        <x:v>0</x:v>
      </x:c>
    </x:row>
    <x:row r="697">
      <x:c r="A697" t="n">
        <x:v>6937</x:v>
      </x:c>
      <x:c r="B697" t="str">
        <x:v>2024-08</x:v>
      </x:c>
      <x:c r="C697" t="str">
        <x:v>Salaried</x:v>
      </x:c>
      <x:c r="D697" t="str">
        <x:v>Group A</x:v>
      </x:c>
      <x:c r="E697" s="26" t="n">
        <x:v>4983.57</x:v>
      </x:c>
      <x:c r="F697" t="n">
        <x:v>0</x:v>
      </x:c>
      <x:c r="G697" s="25" t="n">
        <x:v>0.074341</x:v>
      </x:c>
      <x:c r="H697" t="n">
        <x:f>IF(G697&lt;$B$6,1,0)</x:f>
        <x:v>1</x:v>
      </x:c>
      <x:c r="I697" s="26" t="n">
        <x:f>H697*IF(F697=0,E697*$B$7,-E697*$B$8)</x:f>
        <x:v>598.0283999999999</x:v>
      </x:c>
    </x:row>
    <x:row r="698">
      <x:c r="A698" t="n">
        <x:v>6940</x:v>
      </x:c>
      <x:c r="B698" t="str">
        <x:v>2024-08</x:v>
      </x:c>
      <x:c r="C698" t="str">
        <x:v>Salaried</x:v>
      </x:c>
      <x:c r="D698" t="str">
        <x:v>Group A</x:v>
      </x:c>
      <x:c r="E698" s="26" t="n">
        <x:v>21817.9</x:v>
      </x:c>
      <x:c r="F698" t="n">
        <x:v>0</x:v>
      </x:c>
      <x:c r="G698" s="25" t="n">
        <x:v>0.398129</x:v>
      </x:c>
      <x:c r="H698" t="n">
        <x:f>IF(G698&lt;$B$6,1,0)</x:f>
        <x:v>0</x:v>
      </x:c>
      <x:c r="I698" s="26" t="n">
        <x:f>H698*IF(F698=0,E698*$B$7,-E698*$B$8)</x:f>
        <x:v>0</x:v>
      </x:c>
    </x:row>
    <x:row r="699">
      <x:c r="A699" t="n">
        <x:v>6965</x:v>
      </x:c>
      <x:c r="B699" t="str">
        <x:v>2024-08</x:v>
      </x:c>
      <x:c r="C699" t="str">
        <x:v>Salaried</x:v>
      </x:c>
      <x:c r="D699" t="str">
        <x:v>Group A</x:v>
      </x:c>
      <x:c r="E699" s="26" t="n">
        <x:v>22594.47</x:v>
      </x:c>
      <x:c r="F699" t="n">
        <x:v>0</x:v>
      </x:c>
      <x:c r="G699" s="25" t="n">
        <x:v>0.230382</x:v>
      </x:c>
      <x:c r="H699" t="n">
        <x:f>IF(G699&lt;$B$6,1,0)</x:f>
        <x:v>0</x:v>
      </x:c>
      <x:c r="I699" s="26" t="n">
        <x:f>H699*IF(F699=0,E699*$B$7,-E699*$B$8)</x:f>
        <x:v>0</x:v>
      </x:c>
    </x:row>
    <x:row r="700">
      <x:c r="A700" t="n">
        <x:v>7003</x:v>
      </x:c>
      <x:c r="B700" t="str">
        <x:v>2024-08</x:v>
      </x:c>
      <x:c r="C700" t="str">
        <x:v>Self employed</x:v>
      </x:c>
      <x:c r="D700" t="str">
        <x:v>Group A</x:v>
      </x:c>
      <x:c r="E700" s="26" t="n">
        <x:v>18605</x:v>
      </x:c>
      <x:c r="F700" t="n">
        <x:v>1</x:v>
      </x:c>
      <x:c r="G700" s="25" t="n">
        <x:v>0.439529</x:v>
      </x:c>
      <x:c r="H700" t="n">
        <x:f>IF(G700&lt;$B$6,1,0)</x:f>
        <x:v>0</x:v>
      </x:c>
      <x:c r="I700" s="26" t="n">
        <x:f>H700*IF(F700=0,E700*$B$7,-E700*$B$8)</x:f>
        <x:v>0</x:v>
      </x:c>
    </x:row>
    <x:row r="701">
      <x:c r="A701" t="n">
        <x:v>7021</x:v>
      </x:c>
      <x:c r="B701" t="str">
        <x:v>2024-08</x:v>
      </x:c>
      <x:c r="C701" t="str">
        <x:v>Salaried</x:v>
      </x:c>
      <x:c r="D701" t="str">
        <x:v>Group A</x:v>
      </x:c>
      <x:c r="E701" s="26" t="n">
        <x:v>20991.59</x:v>
      </x:c>
      <x:c r="F701" t="n">
        <x:v>0</x:v>
      </x:c>
      <x:c r="G701" s="25" t="n">
        <x:v>0.288547</x:v>
      </x:c>
      <x:c r="H701" t="n">
        <x:f>IF(G701&lt;$B$6,1,0)</x:f>
        <x:v>0</x:v>
      </x:c>
      <x:c r="I701" s="26" t="n">
        <x:f>H701*IF(F701=0,E701*$B$7,-E701*$B$8)</x:f>
        <x:v>0</x:v>
      </x:c>
    </x:row>
    <x:row r="702">
      <x:c r="A702" t="n">
        <x:v>7085</x:v>
      </x:c>
      <x:c r="B702" t="str">
        <x:v>2024-08</x:v>
      </x:c>
      <x:c r="C702" t="str">
        <x:v>Self employed</x:v>
      </x:c>
      <x:c r="D702" t="str">
        <x:v>Group B</x:v>
      </x:c>
      <x:c r="E702" s="26" t="n">
        <x:v>24557.78</x:v>
      </x:c>
      <x:c r="F702" t="n">
        <x:v>0</x:v>
      </x:c>
      <x:c r="G702" s="25" t="n">
        <x:v>0.060276</x:v>
      </x:c>
      <x:c r="H702" t="n">
        <x:f>IF(G702&lt;$B$6,1,0)</x:f>
        <x:v>1</x:v>
      </x:c>
      <x:c r="I702" s="26" t="n">
        <x:f>H702*IF(F702=0,E702*$B$7,-E702*$B$8)</x:f>
        <x:v>2946.9336</x:v>
      </x:c>
    </x:row>
    <x:row r="703">
      <x:c r="A703" t="n">
        <x:v>7103</x:v>
      </x:c>
      <x:c r="B703" t="str">
        <x:v>2024-08</x:v>
      </x:c>
      <x:c r="C703" t="str">
        <x:v>Self employed</x:v>
      </x:c>
      <x:c r="D703" t="str">
        <x:v>Group A</x:v>
      </x:c>
      <x:c r="E703" s="26" t="n">
        <x:v>14123.2</x:v>
      </x:c>
      <x:c r="F703" t="n">
        <x:v>0</x:v>
      </x:c>
      <x:c r="G703" s="25" t="n">
        <x:v>0.081157</x:v>
      </x:c>
      <x:c r="H703" t="n">
        <x:f>IF(G703&lt;$B$6,1,0)</x:f>
        <x:v>1</x:v>
      </x:c>
      <x:c r="I703" s="26" t="n">
        <x:f>H703*IF(F703=0,E703*$B$7,-E703*$B$8)</x:f>
        <x:v>1694.784</x:v>
      </x:c>
    </x:row>
    <x:row r="704">
      <x:c r="A704" t="n">
        <x:v>7108</x:v>
      </x:c>
      <x:c r="B704" t="str">
        <x:v>2024-08</x:v>
      </x:c>
      <x:c r="C704" t="str">
        <x:v>Self employed</x:v>
      </x:c>
      <x:c r="D704" t="str">
        <x:v>Group A</x:v>
      </x:c>
      <x:c r="E704" s="26" t="n">
        <x:v>8712.02</x:v>
      </x:c>
      <x:c r="F704" t="n">
        <x:v>1</x:v>
      </x:c>
      <x:c r="G704" s="25" t="n">
        <x:v>0.436203</x:v>
      </x:c>
      <x:c r="H704" t="n">
        <x:f>IF(G704&lt;$B$6,1,0)</x:f>
        <x:v>0</x:v>
      </x:c>
      <x:c r="I704" s="26" t="n">
        <x:f>H704*IF(F704=0,E704*$B$7,-E704*$B$8)</x:f>
        <x:v>0</x:v>
      </x:c>
    </x:row>
    <x:row r="705">
      <x:c r="A705" t="n">
        <x:v>7114</x:v>
      </x:c>
      <x:c r="B705" t="str">
        <x:v>2024-08</x:v>
      </x:c>
      <x:c r="C705" t="str">
        <x:v>Salaried</x:v>
      </x:c>
      <x:c r="D705" t="str">
        <x:v>Group B</x:v>
      </x:c>
      <x:c r="E705" s="26" t="n">
        <x:v>3722.92</x:v>
      </x:c>
      <x:c r="F705" t="n">
        <x:v>0</x:v>
      </x:c>
      <x:c r="G705" s="25" t="n">
        <x:v>0.046557</x:v>
      </x:c>
      <x:c r="H705" t="n">
        <x:f>IF(G705&lt;$B$6,1,0)</x:f>
        <x:v>1</x:v>
      </x:c>
      <x:c r="I705" s="26" t="n">
        <x:f>H705*IF(F705=0,E705*$B$7,-E705*$B$8)</x:f>
        <x:v>446.7504</x:v>
      </x:c>
    </x:row>
    <x:row r="706">
      <x:c r="A706" t="n">
        <x:v>7154</x:v>
      </x:c>
      <x:c r="B706" t="str">
        <x:v>2024-08</x:v>
      </x:c>
      <x:c r="C706" t="str">
        <x:v>Contract</x:v>
      </x:c>
      <x:c r="D706" t="str">
        <x:v>Group A</x:v>
      </x:c>
      <x:c r="E706" s="26" t="n">
        <x:v>7638.48</x:v>
      </x:c>
      <x:c r="F706" t="n">
        <x:v>0</x:v>
      </x:c>
      <x:c r="G706" s="25" t="n">
        <x:v>0.067946</x:v>
      </x:c>
      <x:c r="H706" t="n">
        <x:f>IF(G706&lt;$B$6,1,0)</x:f>
        <x:v>1</x:v>
      </x:c>
      <x:c r="I706" s="26" t="n">
        <x:f>H706*IF(F706=0,E706*$B$7,-E706*$B$8)</x:f>
        <x:v>916.6175999999999</x:v>
      </x:c>
    </x:row>
    <x:row r="707">
      <x:c r="A707" t="n">
        <x:v>7156</x:v>
      </x:c>
      <x:c r="B707" t="str">
        <x:v>2024-08</x:v>
      </x:c>
      <x:c r="C707" t="str">
        <x:v>Contract</x:v>
      </x:c>
      <x:c r="D707" t="str">
        <x:v>Group A</x:v>
      </x:c>
      <x:c r="E707" s="26" t="n">
        <x:v>30183.24</x:v>
      </x:c>
      <x:c r="F707" t="n">
        <x:v>0</x:v>
      </x:c>
      <x:c r="G707" s="25" t="n">
        <x:v>0.265793</x:v>
      </x:c>
      <x:c r="H707" t="n">
        <x:f>IF(G707&lt;$B$6,1,0)</x:f>
        <x:v>0</x:v>
      </x:c>
      <x:c r="I707" s="26" t="n">
        <x:f>H707*IF(F707=0,E707*$B$7,-E707*$B$8)</x:f>
        <x:v>0</x:v>
      </x:c>
    </x:row>
    <x:row r="708">
      <x:c r="A708" t="n">
        <x:v>7173</x:v>
      </x:c>
      <x:c r="B708" t="str">
        <x:v>2024-08</x:v>
      </x:c>
      <x:c r="C708" t="str">
        <x:v>Salaried</x:v>
      </x:c>
      <x:c r="D708" t="str">
        <x:v>Group A</x:v>
      </x:c>
      <x:c r="E708" s="26" t="n">
        <x:v>20130.36</x:v>
      </x:c>
      <x:c r="F708" t="n">
        <x:v>0</x:v>
      </x:c>
      <x:c r="G708" s="25" t="n">
        <x:v>0.031516</x:v>
      </x:c>
      <x:c r="H708" t="n">
        <x:f>IF(G708&lt;$B$6,1,0)</x:f>
        <x:v>1</x:v>
      </x:c>
      <x:c r="I708" s="26" t="n">
        <x:f>H708*IF(F708=0,E708*$B$7,-E708*$B$8)</x:f>
        <x:v>2415.6432</x:v>
      </x:c>
    </x:row>
    <x:row r="709">
      <x:c r="A709" t="n">
        <x:v>7193</x:v>
      </x:c>
      <x:c r="B709" t="str">
        <x:v>2024-08</x:v>
      </x:c>
      <x:c r="C709" t="str">
        <x:v>Self employed</x:v>
      </x:c>
      <x:c r="D709" t="str">
        <x:v>Group B</x:v>
      </x:c>
      <x:c r="E709" s="26" t="n">
        <x:v>15926.29</x:v>
      </x:c>
      <x:c r="F709" t="n">
        <x:v>0</x:v>
      </x:c>
      <x:c r="G709" s="25" t="n">
        <x:v>0.217456</x:v>
      </x:c>
      <x:c r="H709" t="n">
        <x:f>IF(G709&lt;$B$6,1,0)</x:f>
        <x:v>0</x:v>
      </x:c>
      <x:c r="I709" s="26" t="n">
        <x:f>H709*IF(F709=0,E709*$B$7,-E709*$B$8)</x:f>
        <x:v>0</x:v>
      </x:c>
    </x:row>
    <x:row r="710">
      <x:c r="A710" t="n">
        <x:v>7230</x:v>
      </x:c>
      <x:c r="B710" t="str">
        <x:v>2024-08</x:v>
      </x:c>
      <x:c r="C710" t="str">
        <x:v>Self employed</x:v>
      </x:c>
      <x:c r="D710" t="str">
        <x:v>Group B</x:v>
      </x:c>
      <x:c r="E710" s="26" t="n">
        <x:v>35856.97</x:v>
      </x:c>
      <x:c r="F710" t="n">
        <x:v>0</x:v>
      </x:c>
      <x:c r="G710" s="25" t="n">
        <x:v>0.259364</x:v>
      </x:c>
      <x:c r="H710" t="n">
        <x:f>IF(G710&lt;$B$6,1,0)</x:f>
        <x:v>0</x:v>
      </x:c>
      <x:c r="I710" s="26" t="n">
        <x:f>H710*IF(F710=0,E710*$B$7,-E710*$B$8)</x:f>
        <x:v>0</x:v>
      </x:c>
    </x:row>
    <x:row r="711">
      <x:c r="A711" t="n">
        <x:v>7272</x:v>
      </x:c>
      <x:c r="B711" t="str">
        <x:v>2024-08</x:v>
      </x:c>
      <x:c r="C711" t="str">
        <x:v>Salaried</x:v>
      </x:c>
      <x:c r="D711" t="str">
        <x:v>Group A</x:v>
      </x:c>
      <x:c r="E711" s="26" t="n">
        <x:v>19803.11</x:v>
      </x:c>
      <x:c r="F711" t="n">
        <x:v>1</x:v>
      </x:c>
      <x:c r="G711" s="25" t="n">
        <x:v>0.079071</x:v>
      </x:c>
      <x:c r="H711" t="n">
        <x:f>IF(G711&lt;$B$6,1,0)</x:f>
        <x:v>1</x:v>
      </x:c>
      <x:c r="I711" s="26" t="n">
        <x:f>H711*IF(F711=0,E711*$B$7,-E711*$B$8)</x:f>
        <x:v>-12872.0215</x:v>
      </x:c>
    </x:row>
    <x:row r="712">
      <x:c r="A712" t="n">
        <x:v>7287</x:v>
      </x:c>
      <x:c r="B712" t="str">
        <x:v>2024-08</x:v>
      </x:c>
      <x:c r="C712" t="str">
        <x:v>Salaried</x:v>
      </x:c>
      <x:c r="D712" t="str">
        <x:v>Group A</x:v>
      </x:c>
      <x:c r="E712" s="26" t="n">
        <x:v>9365.99</x:v>
      </x:c>
      <x:c r="F712" t="n">
        <x:v>0</x:v>
      </x:c>
      <x:c r="G712" s="25" t="n">
        <x:v>0.139517</x:v>
      </x:c>
      <x:c r="H712" t="n">
        <x:f>IF(G712&lt;$B$6,1,0)</x:f>
        <x:v>1</x:v>
      </x:c>
      <x:c r="I712" s="26" t="n">
        <x:f>H712*IF(F712=0,E712*$B$7,-E712*$B$8)</x:f>
        <x:v>1123.9188</x:v>
      </x:c>
    </x:row>
    <x:row r="713">
      <x:c r="A713" t="n">
        <x:v>7382</x:v>
      </x:c>
      <x:c r="B713" t="str">
        <x:v>2024-08</x:v>
      </x:c>
      <x:c r="C713" t="str">
        <x:v>Salaried</x:v>
      </x:c>
      <x:c r="D713" t="str">
        <x:v>Group A</x:v>
      </x:c>
      <x:c r="E713" s="26" t="n">
        <x:v>46418.38</x:v>
      </x:c>
      <x:c r="F713" t="n">
        <x:v>0</x:v>
      </x:c>
      <x:c r="G713" s="25" t="n">
        <x:v>0.238826</x:v>
      </x:c>
      <x:c r="H713" t="n">
        <x:f>IF(G713&lt;$B$6,1,0)</x:f>
        <x:v>0</x:v>
      </x:c>
      <x:c r="I713" s="26" t="n">
        <x:f>H713*IF(F713=0,E713*$B$7,-E713*$B$8)</x:f>
        <x:v>0</x:v>
      </x:c>
    </x:row>
    <x:row r="714">
      <x:c r="A714" t="n">
        <x:v>7391</x:v>
      </x:c>
      <x:c r="B714" t="str">
        <x:v>2024-08</x:v>
      </x:c>
      <x:c r="C714" t="str">
        <x:v>Salaried</x:v>
      </x:c>
      <x:c r="D714" t="str">
        <x:v>Group B</x:v>
      </x:c>
      <x:c r="E714" s="26" t="n">
        <x:v>3580.64</x:v>
      </x:c>
      <x:c r="F714" t="n">
        <x:v>0</x:v>
      </x:c>
      <x:c r="G714" s="25" t="n">
        <x:v>0.209191</x:v>
      </x:c>
      <x:c r="H714" t="n">
        <x:f>IF(G714&lt;$B$6,1,0)</x:f>
        <x:v>0</x:v>
      </x:c>
      <x:c r="I714" s="26" t="n">
        <x:f>H714*IF(F714=0,E714*$B$7,-E714*$B$8)</x:f>
        <x:v>0</x:v>
      </x:c>
    </x:row>
    <x:row r="715">
      <x:c r="A715" t="n">
        <x:v>7432</x:v>
      </x:c>
      <x:c r="B715" t="str">
        <x:v>2024-08</x:v>
      </x:c>
      <x:c r="C715" t="str">
        <x:v>Self employed</x:v>
      </x:c>
      <x:c r="D715" t="str">
        <x:v>Group A</x:v>
      </x:c>
      <x:c r="E715" s="26" t="n">
        <x:v>8475.22</x:v>
      </x:c>
      <x:c r="F715" t="n">
        <x:v>0</x:v>
      </x:c>
      <x:c r="G715" s="25" t="n">
        <x:v>0.05124</x:v>
      </x:c>
      <x:c r="H715" t="n">
        <x:f>IF(G715&lt;$B$6,1,0)</x:f>
        <x:v>1</x:v>
      </x:c>
      <x:c r="I715" s="26" t="n">
        <x:f>H715*IF(F715=0,E715*$B$7,-E715*$B$8)</x:f>
        <x:v>1017.0263999999999</x:v>
      </x:c>
    </x:row>
    <x:row r="716">
      <x:c r="A716" t="n">
        <x:v>7442</x:v>
      </x:c>
      <x:c r="B716" t="str">
        <x:v>2024-08</x:v>
      </x:c>
      <x:c r="C716" t="str">
        <x:v>Self employed</x:v>
      </x:c>
      <x:c r="D716" t="str">
        <x:v>Group A</x:v>
      </x:c>
      <x:c r="E716" s="26" t="n">
        <x:v>7059.78</x:v>
      </x:c>
      <x:c r="F716" t="n">
        <x:v>1</x:v>
      </x:c>
      <x:c r="G716" s="25" t="n">
        <x:v>0.198922</x:v>
      </x:c>
      <x:c r="H716" t="n">
        <x:f>IF(G716&lt;$B$6,1,0)</x:f>
        <x:v>0</x:v>
      </x:c>
      <x:c r="I716" s="26" t="n">
        <x:f>H716*IF(F716=0,E716*$B$7,-E716*$B$8)</x:f>
        <x:v>0</x:v>
      </x:c>
    </x:row>
    <x:row r="717">
      <x:c r="A717" t="n">
        <x:v>7444</x:v>
      </x:c>
      <x:c r="B717" t="str">
        <x:v>2024-08</x:v>
      </x:c>
      <x:c r="C717" t="str">
        <x:v>Contract</x:v>
      </x:c>
      <x:c r="D717" t="str">
        <x:v>Group A</x:v>
      </x:c>
      <x:c r="E717" s="26" t="n">
        <x:v>21380.08</x:v>
      </x:c>
      <x:c r="F717" t="n">
        <x:v>0</x:v>
      </x:c>
      <x:c r="G717" s="25" t="n">
        <x:v>0.433008</x:v>
      </x:c>
      <x:c r="H717" t="n">
        <x:f>IF(G717&lt;$B$6,1,0)</x:f>
        <x:v>0</x:v>
      </x:c>
      <x:c r="I717" s="26" t="n">
        <x:f>H717*IF(F717=0,E717*$B$7,-E717*$B$8)</x:f>
        <x:v>0</x:v>
      </x:c>
    </x:row>
    <x:row r="718">
      <x:c r="A718" t="n">
        <x:v>7457</x:v>
      </x:c>
      <x:c r="B718" t="str">
        <x:v>2024-08</x:v>
      </x:c>
      <x:c r="C718" t="str">
        <x:v>Salaried</x:v>
      </x:c>
      <x:c r="D718" t="str">
        <x:v>Group B</x:v>
      </x:c>
      <x:c r="E718" s="26" t="n">
        <x:v>7234.13</x:v>
      </x:c>
      <x:c r="F718" t="n">
        <x:v>1</x:v>
      </x:c>
      <x:c r="G718" s="25" t="n">
        <x:v>0.076474</x:v>
      </x:c>
      <x:c r="H718" t="n">
        <x:f>IF(G718&lt;$B$6,1,0)</x:f>
        <x:v>1</x:v>
      </x:c>
      <x:c r="I718" s="26" t="n">
        <x:f>H718*IF(F718=0,E718*$B$7,-E718*$B$8)</x:f>
        <x:v>-4702.1845</x:v>
      </x:c>
    </x:row>
    <x:row r="719">
      <x:c r="A719" t="n">
        <x:v>7467</x:v>
      </x:c>
      <x:c r="B719" t="str">
        <x:v>2024-08</x:v>
      </x:c>
      <x:c r="C719" t="str">
        <x:v>Salaried</x:v>
      </x:c>
      <x:c r="D719" t="str">
        <x:v>Group B</x:v>
      </x:c>
      <x:c r="E719" s="26" t="n">
        <x:v>16081.77</x:v>
      </x:c>
      <x:c r="F719" t="n">
        <x:v>1</x:v>
      </x:c>
      <x:c r="G719" s="25" t="n">
        <x:v>0.21464</x:v>
      </x:c>
      <x:c r="H719" t="n">
        <x:f>IF(G719&lt;$B$6,1,0)</x:f>
        <x:v>0</x:v>
      </x:c>
      <x:c r="I719" s="26" t="n">
        <x:f>H719*IF(F719=0,E719*$B$7,-E719*$B$8)</x:f>
        <x:v>0</x:v>
      </x:c>
    </x:row>
    <x:row r="720">
      <x:c r="A720" t="n">
        <x:v>7524</x:v>
      </x:c>
      <x:c r="B720" t="str">
        <x:v>2024-08</x:v>
      </x:c>
      <x:c r="C720" t="str">
        <x:v>Salaried</x:v>
      </x:c>
      <x:c r="D720" t="str">
        <x:v>Group B</x:v>
      </x:c>
      <x:c r="E720" s="26" t="n">
        <x:v>15786.37</x:v>
      </x:c>
      <x:c r="F720" t="n">
        <x:v>0</x:v>
      </x:c>
      <x:c r="G720" s="25" t="n">
        <x:v>0.040583</x:v>
      </x:c>
      <x:c r="H720" t="n">
        <x:f>IF(G720&lt;$B$6,1,0)</x:f>
        <x:v>1</x:v>
      </x:c>
      <x:c r="I720" s="26" t="n">
        <x:f>H720*IF(F720=0,E720*$B$7,-E720*$B$8)</x:f>
        <x:v>1894.3644</x:v>
      </x:c>
    </x:row>
    <x:row r="721">
      <x:c r="A721" t="n">
        <x:v>7560</x:v>
      </x:c>
      <x:c r="B721" t="str">
        <x:v>2024-08</x:v>
      </x:c>
      <x:c r="C721" t="str">
        <x:v>Self employed</x:v>
      </x:c>
      <x:c r="D721" t="str">
        <x:v>Group B</x:v>
      </x:c>
      <x:c r="E721" s="26" t="n">
        <x:v>51283.26</x:v>
      </x:c>
      <x:c r="F721" t="n">
        <x:v>0</x:v>
      </x:c>
      <x:c r="G721" s="25" t="n">
        <x:v>0.270694</x:v>
      </x:c>
      <x:c r="H721" t="n">
        <x:f>IF(G721&lt;$B$6,1,0)</x:f>
        <x:v>0</x:v>
      </x:c>
      <x:c r="I721" s="26" t="n">
        <x:f>H721*IF(F721=0,E721*$B$7,-E721*$B$8)</x:f>
        <x:v>0</x:v>
      </x:c>
    </x:row>
    <x:row r="722">
      <x:c r="A722" t="n">
        <x:v>7562</x:v>
      </x:c>
      <x:c r="B722" t="str">
        <x:v>2024-08</x:v>
      </x:c>
      <x:c r="C722" t="str">
        <x:v>Salaried</x:v>
      </x:c>
      <x:c r="D722" t="str">
        <x:v>Group A</x:v>
      </x:c>
      <x:c r="E722" s="26" t="n">
        <x:v>7536.89</x:v>
      </x:c>
      <x:c r="F722" t="n">
        <x:v>0</x:v>
      </x:c>
      <x:c r="G722" s="25" t="n">
        <x:v>0.106276</x:v>
      </x:c>
      <x:c r="H722" t="n">
        <x:f>IF(G722&lt;$B$6,1,0)</x:f>
        <x:v>1</x:v>
      </x:c>
      <x:c r="I722" s="26" t="n">
        <x:f>H722*IF(F722=0,E722*$B$7,-E722*$B$8)</x:f>
        <x:v>904.4268</x:v>
      </x:c>
    </x:row>
    <x:row r="723">
      <x:c r="A723" t="n">
        <x:v>7596</x:v>
      </x:c>
      <x:c r="B723" t="str">
        <x:v>2024-08</x:v>
      </x:c>
      <x:c r="C723" t="str">
        <x:v>Salaried</x:v>
      </x:c>
      <x:c r="D723" t="str">
        <x:v>Group B</x:v>
      </x:c>
      <x:c r="E723" s="26" t="n">
        <x:v>6008.56</x:v>
      </x:c>
      <x:c r="F723" t="n">
        <x:v>0</x:v>
      </x:c>
      <x:c r="G723" s="25" t="n">
        <x:v>0.051562</x:v>
      </x:c>
      <x:c r="H723" t="n">
        <x:f>IF(G723&lt;$B$6,1,0)</x:f>
        <x:v>1</x:v>
      </x:c>
      <x:c r="I723" s="26" t="n">
        <x:f>H723*IF(F723=0,E723*$B$7,-E723*$B$8)</x:f>
        <x:v>721.0272</x:v>
      </x:c>
    </x:row>
    <x:row r="724">
      <x:c r="A724" t="n">
        <x:v>7627</x:v>
      </x:c>
      <x:c r="B724" t="str">
        <x:v>2024-08</x:v>
      </x:c>
      <x:c r="C724" t="str">
        <x:v>Self employed</x:v>
      </x:c>
      <x:c r="D724" t="str">
        <x:v>Group A</x:v>
      </x:c>
      <x:c r="E724" s="26" t="n">
        <x:v>4759.66</x:v>
      </x:c>
      <x:c r="F724" t="n">
        <x:v>0</x:v>
      </x:c>
      <x:c r="G724" s="25" t="n">
        <x:v>0.331617</x:v>
      </x:c>
      <x:c r="H724" t="n">
        <x:f>IF(G724&lt;$B$6,1,0)</x:f>
        <x:v>0</x:v>
      </x:c>
      <x:c r="I724" s="26" t="n">
        <x:f>H724*IF(F724=0,E724*$B$7,-E724*$B$8)</x:f>
        <x:v>0</x:v>
      </x:c>
    </x:row>
    <x:row r="725">
      <x:c r="A725" t="n">
        <x:v>7636</x:v>
      </x:c>
      <x:c r="B725" t="str">
        <x:v>2024-08</x:v>
      </x:c>
      <x:c r="C725" t="str">
        <x:v>Salaried</x:v>
      </x:c>
      <x:c r="D725" t="str">
        <x:v>Group B</x:v>
      </x:c>
      <x:c r="E725" s="26" t="n">
        <x:v>6903.79</x:v>
      </x:c>
      <x:c r="F725" t="n">
        <x:v>0</x:v>
      </x:c>
      <x:c r="G725" s="25" t="n">
        <x:v>0.029695</x:v>
      </x:c>
      <x:c r="H725" t="n">
        <x:f>IF(G725&lt;$B$6,1,0)</x:f>
        <x:v>1</x:v>
      </x:c>
      <x:c r="I725" s="26" t="n">
        <x:f>H725*IF(F725=0,E725*$B$7,-E725*$B$8)</x:f>
        <x:v>828.4548</x:v>
      </x:c>
    </x:row>
    <x:row r="726">
      <x:c r="A726" t="n">
        <x:v>7658</x:v>
      </x:c>
      <x:c r="B726" t="str">
        <x:v>2024-08</x:v>
      </x:c>
      <x:c r="C726" t="str">
        <x:v>Self employed</x:v>
      </x:c>
      <x:c r="D726" t="str">
        <x:v>Group B</x:v>
      </x:c>
      <x:c r="E726" s="26" t="n">
        <x:v>11452.79</x:v>
      </x:c>
      <x:c r="F726" t="n">
        <x:v>0</x:v>
      </x:c>
      <x:c r="G726" s="25" t="n">
        <x:v>0.143412</x:v>
      </x:c>
      <x:c r="H726" t="n">
        <x:f>IF(G726&lt;$B$6,1,0)</x:f>
        <x:v>1</x:v>
      </x:c>
      <x:c r="I726" s="26" t="n">
        <x:f>H726*IF(F726=0,E726*$B$7,-E726*$B$8)</x:f>
        <x:v>1374.3348</x:v>
      </x:c>
    </x:row>
    <x:row r="727">
      <x:c r="A727" t="n">
        <x:v>7669</x:v>
      </x:c>
      <x:c r="B727" t="str">
        <x:v>2024-08</x:v>
      </x:c>
      <x:c r="C727" t="str">
        <x:v>Contract</x:v>
      </x:c>
      <x:c r="D727" t="str">
        <x:v>Group B</x:v>
      </x:c>
      <x:c r="E727" s="26" t="n">
        <x:v>16359.66</x:v>
      </x:c>
      <x:c r="F727" t="n">
        <x:v>0</x:v>
      </x:c>
      <x:c r="G727" s="25" t="n">
        <x:v>0.088499</x:v>
      </x:c>
      <x:c r="H727" t="n">
        <x:f>IF(G727&lt;$B$6,1,0)</x:f>
        <x:v>1</x:v>
      </x:c>
      <x:c r="I727" s="26" t="n">
        <x:f>H727*IF(F727=0,E727*$B$7,-E727*$B$8)</x:f>
        <x:v>1963.1591999999998</x:v>
      </x:c>
    </x:row>
    <x:row r="728">
      <x:c r="A728" t="n">
        <x:v>7785</x:v>
      </x:c>
      <x:c r="B728" t="str">
        <x:v>2024-08</x:v>
      </x:c>
      <x:c r="C728" t="str">
        <x:v>Contract</x:v>
      </x:c>
      <x:c r="D728" t="str">
        <x:v>Group B</x:v>
      </x:c>
      <x:c r="E728" s="26" t="n">
        <x:v>6430.09</x:v>
      </x:c>
      <x:c r="F728" t="n">
        <x:v>0</x:v>
      </x:c>
      <x:c r="G728" s="25" t="n">
        <x:v>0.322048</x:v>
      </x:c>
      <x:c r="H728" t="n">
        <x:f>IF(G728&lt;$B$6,1,0)</x:f>
        <x:v>0</x:v>
      </x:c>
      <x:c r="I728" s="26" t="n">
        <x:f>H728*IF(F728=0,E728*$B$7,-E728*$B$8)</x:f>
        <x:v>0</x:v>
      </x:c>
    </x:row>
    <x:row r="729">
      <x:c r="A729" t="n">
        <x:v>7786</x:v>
      </x:c>
      <x:c r="B729" t="str">
        <x:v>2024-08</x:v>
      </x:c>
      <x:c r="C729" t="str">
        <x:v>Salaried</x:v>
      </x:c>
      <x:c r="D729" t="str">
        <x:v>Group B</x:v>
      </x:c>
      <x:c r="E729" s="26" t="n">
        <x:v>18000.7</x:v>
      </x:c>
      <x:c r="F729" t="n">
        <x:v>0</x:v>
      </x:c>
      <x:c r="G729" s="25" t="n">
        <x:v>0.464517</x:v>
      </x:c>
      <x:c r="H729" t="n">
        <x:f>IF(G729&lt;$B$6,1,0)</x:f>
        <x:v>0</x:v>
      </x:c>
      <x:c r="I729" s="26" t="n">
        <x:f>H729*IF(F729=0,E729*$B$7,-E729*$B$8)</x:f>
        <x:v>0</x:v>
      </x:c>
    </x:row>
    <x:row r="730">
      <x:c r="A730" t="n">
        <x:v>7800</x:v>
      </x:c>
      <x:c r="B730" t="str">
        <x:v>2024-08</x:v>
      </x:c>
      <x:c r="C730" t="str">
        <x:v>Salaried</x:v>
      </x:c>
      <x:c r="D730" t="str">
        <x:v>Group B</x:v>
      </x:c>
      <x:c r="E730" s="26" t="n">
        <x:v>8480.14</x:v>
      </x:c>
      <x:c r="F730" t="n">
        <x:v>0</x:v>
      </x:c>
      <x:c r="G730" s="25" t="n">
        <x:v>0.256631</x:v>
      </x:c>
      <x:c r="H730" t="n">
        <x:f>IF(G730&lt;$B$6,1,0)</x:f>
        <x:v>0</x:v>
      </x:c>
      <x:c r="I730" s="26" t="n">
        <x:f>H730*IF(F730=0,E730*$B$7,-E730*$B$8)</x:f>
        <x:v>0</x:v>
      </x:c>
    </x:row>
    <x:row r="731">
      <x:c r="A731" t="n">
        <x:v>7808</x:v>
      </x:c>
      <x:c r="B731" t="str">
        <x:v>2024-08</x:v>
      </x:c>
      <x:c r="C731" t="str">
        <x:v>Salaried</x:v>
      </x:c>
      <x:c r="D731" t="str">
        <x:v>Group A</x:v>
      </x:c>
      <x:c r="E731" s="26" t="n">
        <x:v>20438.72</x:v>
      </x:c>
      <x:c r="F731" t="n">
        <x:v>0</x:v>
      </x:c>
      <x:c r="G731" s="25" t="n">
        <x:v>0.139997</x:v>
      </x:c>
      <x:c r="H731" t="n">
        <x:f>IF(G731&lt;$B$6,1,0)</x:f>
        <x:v>1</x:v>
      </x:c>
      <x:c r="I731" s="26" t="n">
        <x:f>H731*IF(F731=0,E731*$B$7,-E731*$B$8)</x:f>
        <x:v>2452.6464</x:v>
      </x:c>
    </x:row>
    <x:row r="732">
      <x:c r="A732" t="n">
        <x:v>7946</x:v>
      </x:c>
      <x:c r="B732" t="str">
        <x:v>2024-08</x:v>
      </x:c>
      <x:c r="C732" t="str">
        <x:v>Salaried</x:v>
      </x:c>
      <x:c r="D732" t="str">
        <x:v>Group B</x:v>
      </x:c>
      <x:c r="E732" s="26" t="n">
        <x:v>10188.31</x:v>
      </x:c>
      <x:c r="F732" t="n">
        <x:v>0</x:v>
      </x:c>
      <x:c r="G732" s="25" t="n">
        <x:v>0.081938</x:v>
      </x:c>
      <x:c r="H732" t="n">
        <x:f>IF(G732&lt;$B$6,1,0)</x:f>
        <x:v>1</x:v>
      </x:c>
      <x:c r="I732" s="26" t="n">
        <x:f>H732*IF(F732=0,E732*$B$7,-E732*$B$8)</x:f>
        <x:v>1222.5972</x:v>
      </x:c>
    </x:row>
    <x:row r="733">
      <x:c r="A733" t="n">
        <x:v>7966</x:v>
      </x:c>
      <x:c r="B733" t="str">
        <x:v>2024-08</x:v>
      </x:c>
      <x:c r="C733" t="str">
        <x:v>Salaried</x:v>
      </x:c>
      <x:c r="D733" t="str">
        <x:v>Group B</x:v>
      </x:c>
      <x:c r="E733" s="26" t="n">
        <x:v>15897.61</x:v>
      </x:c>
      <x:c r="F733" t="n">
        <x:v>0</x:v>
      </x:c>
      <x:c r="G733" s="25" t="n">
        <x:v>0.170375</x:v>
      </x:c>
      <x:c r="H733" t="n">
        <x:f>IF(G733&lt;$B$6,1,0)</x:f>
        <x:v>0</x:v>
      </x:c>
      <x:c r="I733" s="26" t="n">
        <x:f>H733*IF(F733=0,E733*$B$7,-E733*$B$8)</x:f>
        <x:v>0</x:v>
      </x:c>
    </x:row>
    <x:row r="734">
      <x:c r="A734" t="n">
        <x:v>7967</x:v>
      </x:c>
      <x:c r="B734" t="str">
        <x:v>2024-08</x:v>
      </x:c>
      <x:c r="C734" t="str">
        <x:v>Contract</x:v>
      </x:c>
      <x:c r="D734" t="str">
        <x:v>Group A</x:v>
      </x:c>
      <x:c r="E734" s="26" t="n">
        <x:v>20846.06</x:v>
      </x:c>
      <x:c r="F734" t="n">
        <x:v>0</x:v>
      </x:c>
      <x:c r="G734" s="25" t="n">
        <x:v>0.393032</x:v>
      </x:c>
      <x:c r="H734" t="n">
        <x:f>IF(G734&lt;$B$6,1,0)</x:f>
        <x:v>0</x:v>
      </x:c>
      <x:c r="I734" s="26" t="n">
        <x:f>H734*IF(F734=0,E734*$B$7,-E734*$B$8)</x:f>
        <x:v>0</x:v>
      </x:c>
    </x:row>
    <x:row r="735">
      <x:c r="A735" t="n">
        <x:v>7989</x:v>
      </x:c>
      <x:c r="B735" t="str">
        <x:v>2024-08</x:v>
      </x:c>
      <x:c r="C735" t="str">
        <x:v>Self employed</x:v>
      </x:c>
      <x:c r="D735" t="str">
        <x:v>Group A</x:v>
      </x:c>
      <x:c r="E735" s="26" t="n">
        <x:v>11887.45</x:v>
      </x:c>
      <x:c r="F735" t="n">
        <x:v>0</x:v>
      </x:c>
      <x:c r="G735" s="25" t="n">
        <x:v>0.287381</x:v>
      </x:c>
      <x:c r="H735" t="n">
        <x:f>IF(G735&lt;$B$6,1,0)</x:f>
        <x:v>0</x:v>
      </x:c>
      <x:c r="I735" s="26" t="n">
        <x:f>H735*IF(F735=0,E735*$B$7,-E735*$B$8)</x:f>
        <x:v>0</x:v>
      </x:c>
    </x:row>
    <x:row r="736">
      <x:c r="A736" t="n">
        <x:v>8001</x:v>
      </x:c>
      <x:c r="B736" t="str">
        <x:v>2024-08</x:v>
      </x:c>
      <x:c r="C736" t="str">
        <x:v>Contract</x:v>
      </x:c>
      <x:c r="D736" t="str">
        <x:v>Group B</x:v>
      </x:c>
      <x:c r="E736" s="26" t="n">
        <x:v>57467.46</x:v>
      </x:c>
      <x:c r="F736" t="n">
        <x:v>0</x:v>
      </x:c>
      <x:c r="G736" s="25" t="n">
        <x:v>0.591008</x:v>
      </x:c>
      <x:c r="H736" t="n">
        <x:f>IF(G736&lt;$B$6,1,0)</x:f>
        <x:v>0</x:v>
      </x:c>
      <x:c r="I736" s="26" t="n">
        <x:f>H736*IF(F736=0,E736*$B$7,-E736*$B$8)</x:f>
        <x:v>0</x:v>
      </x:c>
    </x:row>
    <x:row r="737">
      <x:c r="A737" t="n">
        <x:v>8008</x:v>
      </x:c>
      <x:c r="B737" t="str">
        <x:v>2024-08</x:v>
      </x:c>
      <x:c r="C737" t="str">
        <x:v>Salaried</x:v>
      </x:c>
      <x:c r="D737" t="str">
        <x:v>Group B</x:v>
      </x:c>
      <x:c r="E737" s="26" t="n">
        <x:v>13938.94</x:v>
      </x:c>
      <x:c r="F737" t="n">
        <x:v>0</x:v>
      </x:c>
      <x:c r="G737" s="25" t="n">
        <x:v>0.093632</x:v>
      </x:c>
      <x:c r="H737" t="n">
        <x:f>IF(G737&lt;$B$6,1,0)</x:f>
        <x:v>1</x:v>
      </x:c>
      <x:c r="I737" s="26" t="n">
        <x:f>H737*IF(F737=0,E737*$B$7,-E737*$B$8)</x:f>
        <x:v>1672.6728</x:v>
      </x:c>
    </x:row>
    <x:row r="738">
      <x:c r="A738" t="n">
        <x:v>8028</x:v>
      </x:c>
      <x:c r="B738" t="str">
        <x:v>2024-08</x:v>
      </x:c>
      <x:c r="C738" t="str">
        <x:v>Self employed</x:v>
      </x:c>
      <x:c r="D738" t="str">
        <x:v>Group A</x:v>
      </x:c>
      <x:c r="E738" s="26" t="n">
        <x:v>8479.78</x:v>
      </x:c>
      <x:c r="F738" t="n">
        <x:v>0</x:v>
      </x:c>
      <x:c r="G738" s="25" t="n">
        <x:v>0.139889</x:v>
      </x:c>
      <x:c r="H738" t="n">
        <x:f>IF(G738&lt;$B$6,1,0)</x:f>
        <x:v>1</x:v>
      </x:c>
      <x:c r="I738" s="26" t="n">
        <x:f>H738*IF(F738=0,E738*$B$7,-E738*$B$8)</x:f>
        <x:v>1017.5736</x:v>
      </x:c>
    </x:row>
    <x:row r="739">
      <x:c r="A739" t="n">
        <x:v>8050</x:v>
      </x:c>
      <x:c r="B739" t="str">
        <x:v>2024-08</x:v>
      </x:c>
      <x:c r="C739" t="str">
        <x:v>Salaried</x:v>
      </x:c>
      <x:c r="D739" t="str">
        <x:v>Group A</x:v>
      </x:c>
      <x:c r="E739" s="26" t="n">
        <x:v>34647.02</x:v>
      </x:c>
      <x:c r="F739" t="n">
        <x:v>1</x:v>
      </x:c>
      <x:c r="G739" s="25" t="n">
        <x:v>0.022608</x:v>
      </x:c>
      <x:c r="H739" t="n">
        <x:f>IF(G739&lt;$B$6,1,0)</x:f>
        <x:v>1</x:v>
      </x:c>
      <x:c r="I739" s="26" t="n">
        <x:f>H739*IF(F739=0,E739*$B$7,-E739*$B$8)</x:f>
        <x:v>-22520.563</x:v>
      </x:c>
    </x:row>
    <x:row r="740">
      <x:c r="A740" t="n">
        <x:v>8084</x:v>
      </x:c>
      <x:c r="B740" t="str">
        <x:v>2024-08</x:v>
      </x:c>
      <x:c r="C740" t="str">
        <x:v>Salaried</x:v>
      </x:c>
      <x:c r="D740" t="str">
        <x:v>Group B</x:v>
      </x:c>
      <x:c r="E740" s="26" t="n">
        <x:v>8804.66</x:v>
      </x:c>
      <x:c r="F740" t="n">
        <x:v>1</x:v>
      </x:c>
      <x:c r="G740" s="25" t="n">
        <x:v>0.182101</x:v>
      </x:c>
      <x:c r="H740" t="n">
        <x:f>IF(G740&lt;$B$6,1,0)</x:f>
        <x:v>0</x:v>
      </x:c>
      <x:c r="I740" s="26" t="n">
        <x:f>H740*IF(F740=0,E740*$B$7,-E740*$B$8)</x:f>
        <x:v>0</x:v>
      </x:c>
    </x:row>
    <x:row r="741">
      <x:c r="A741" t="n">
        <x:v>8108</x:v>
      </x:c>
      <x:c r="B741" t="str">
        <x:v>2024-08</x:v>
      </x:c>
      <x:c r="C741" t="str">
        <x:v>Salaried</x:v>
      </x:c>
      <x:c r="D741" t="str">
        <x:v>Group A</x:v>
      </x:c>
      <x:c r="E741" s="26" t="n">
        <x:v>9798.49</x:v>
      </x:c>
      <x:c r="F741" t="n">
        <x:v>1</x:v>
      </x:c>
      <x:c r="G741" s="25" t="n">
        <x:v>0.313937</x:v>
      </x:c>
      <x:c r="H741" t="n">
        <x:f>IF(G741&lt;$B$6,1,0)</x:f>
        <x:v>0</x:v>
      </x:c>
      <x:c r="I741" s="26" t="n">
        <x:f>H741*IF(F741=0,E741*$B$7,-E741*$B$8)</x:f>
        <x:v>0</x:v>
      </x:c>
    </x:row>
    <x:row r="742">
      <x:c r="A742" t="n">
        <x:v>8148</x:v>
      </x:c>
      <x:c r="B742" t="str">
        <x:v>2024-08</x:v>
      </x:c>
      <x:c r="C742" t="str">
        <x:v>Salaried</x:v>
      </x:c>
      <x:c r="D742" t="str">
        <x:v>Group A</x:v>
      </x:c>
      <x:c r="E742" s="26" t="n">
        <x:v>5070.28</x:v>
      </x:c>
      <x:c r="F742" t="n">
        <x:v>0</x:v>
      </x:c>
      <x:c r="G742" s="25" t="n">
        <x:v>0.222657</x:v>
      </x:c>
      <x:c r="H742" t="n">
        <x:f>IF(G742&lt;$B$6,1,0)</x:f>
        <x:v>0</x:v>
      </x:c>
      <x:c r="I742" s="26" t="n">
        <x:f>H742*IF(F742=0,E742*$B$7,-E742*$B$8)</x:f>
        <x:v>0</x:v>
      </x:c>
    </x:row>
    <x:row r="743">
      <x:c r="A743" t="n">
        <x:v>8156</x:v>
      </x:c>
      <x:c r="B743" t="str">
        <x:v>2024-08</x:v>
      </x:c>
      <x:c r="C743" t="str">
        <x:v>Salaried</x:v>
      </x:c>
      <x:c r="D743" t="str">
        <x:v>Group B</x:v>
      </x:c>
      <x:c r="E743" s="26" t="n">
        <x:v>7421.46</x:v>
      </x:c>
      <x:c r="F743" t="n">
        <x:v>0</x:v>
      </x:c>
      <x:c r="G743" s="25" t="n">
        <x:v>0.151976</x:v>
      </x:c>
      <x:c r="H743" t="n">
        <x:f>IF(G743&lt;$B$6,1,0)</x:f>
        <x:v>1</x:v>
      </x:c>
      <x:c r="I743" s="26" t="n">
        <x:f>H743*IF(F743=0,E743*$B$7,-E743*$B$8)</x:f>
        <x:v>890.5752</x:v>
      </x:c>
    </x:row>
    <x:row r="744">
      <x:c r="A744" t="n">
        <x:v>8158</x:v>
      </x:c>
      <x:c r="B744" t="str">
        <x:v>2024-08</x:v>
      </x:c>
      <x:c r="C744" t="str">
        <x:v>Contract</x:v>
      </x:c>
      <x:c r="D744" t="str">
        <x:v>Group A</x:v>
      </x:c>
      <x:c r="E744" s="26" t="n">
        <x:v>7346.28</x:v>
      </x:c>
      <x:c r="F744" t="n">
        <x:v>1</x:v>
      </x:c>
      <x:c r="G744" s="25" t="n">
        <x:v>0.565172</x:v>
      </x:c>
      <x:c r="H744" t="n">
        <x:f>IF(G744&lt;$B$6,1,0)</x:f>
        <x:v>0</x:v>
      </x:c>
      <x:c r="I744" s="26" t="n">
        <x:f>H744*IF(F744=0,E744*$B$7,-E744*$B$8)</x:f>
        <x:v>0</x:v>
      </x:c>
    </x:row>
    <x:row r="745">
      <x:c r="A745" t="n">
        <x:v>8165</x:v>
      </x:c>
      <x:c r="B745" t="str">
        <x:v>2024-08</x:v>
      </x:c>
      <x:c r="C745" t="str">
        <x:v>Salaried</x:v>
      </x:c>
      <x:c r="D745" t="str">
        <x:v>Group A</x:v>
      </x:c>
      <x:c r="E745" s="26" t="n">
        <x:v>32715.02</x:v>
      </x:c>
      <x:c r="F745" t="n">
        <x:v>0</x:v>
      </x:c>
      <x:c r="G745" s="25" t="n">
        <x:v>0.469506</x:v>
      </x:c>
      <x:c r="H745" t="n">
        <x:f>IF(G745&lt;$B$6,1,0)</x:f>
        <x:v>0</x:v>
      </x:c>
      <x:c r="I745" s="26" t="n">
        <x:f>H745*IF(F745=0,E745*$B$7,-E745*$B$8)</x:f>
        <x:v>0</x:v>
      </x:c>
    </x:row>
    <x:row r="746">
      <x:c r="A746" t="n">
        <x:v>8242</x:v>
      </x:c>
      <x:c r="B746" t="str">
        <x:v>2024-08</x:v>
      </x:c>
      <x:c r="C746" t="str">
        <x:v>Salaried</x:v>
      </x:c>
      <x:c r="D746" t="str">
        <x:v>Group B</x:v>
      </x:c>
      <x:c r="E746" s="26" t="n">
        <x:v>16289.84</x:v>
      </x:c>
      <x:c r="F746" t="n">
        <x:v>0</x:v>
      </x:c>
      <x:c r="G746" s="25" t="n">
        <x:v>0.018279</x:v>
      </x:c>
      <x:c r="H746" t="n">
        <x:f>IF(G746&lt;$B$6,1,0)</x:f>
        <x:v>1</x:v>
      </x:c>
      <x:c r="I746" s="26" t="n">
        <x:f>H746*IF(F746=0,E746*$B$7,-E746*$B$8)</x:f>
        <x:v>1954.7808</x:v>
      </x:c>
    </x:row>
    <x:row r="747">
      <x:c r="A747" t="n">
        <x:v>8261</x:v>
      </x:c>
      <x:c r="B747" t="str">
        <x:v>2024-08</x:v>
      </x:c>
      <x:c r="C747" t="str">
        <x:v>Contract</x:v>
      </x:c>
      <x:c r="D747" t="str">
        <x:v>Group B</x:v>
      </x:c>
      <x:c r="E747" s="26" t="n">
        <x:v>13598.14</x:v>
      </x:c>
      <x:c r="F747" t="n">
        <x:v>0</x:v>
      </x:c>
      <x:c r="G747" s="25" t="n">
        <x:v>0.225199</x:v>
      </x:c>
      <x:c r="H747" t="n">
        <x:f>IF(G747&lt;$B$6,1,0)</x:f>
        <x:v>0</x:v>
      </x:c>
      <x:c r="I747" s="26" t="n">
        <x:f>H747*IF(F747=0,E747*$B$7,-E747*$B$8)</x:f>
        <x:v>0</x:v>
      </x:c>
    </x:row>
    <x:row r="748">
      <x:c r="A748" t="n">
        <x:v>8280</x:v>
      </x:c>
      <x:c r="B748" t="str">
        <x:v>2024-08</x:v>
      </x:c>
      <x:c r="C748" t="str">
        <x:v>Salaried</x:v>
      </x:c>
      <x:c r="D748" t="str">
        <x:v>Group A</x:v>
      </x:c>
      <x:c r="E748" s="26" t="n">
        <x:v>21601.9</x:v>
      </x:c>
      <x:c r="F748" t="n">
        <x:v>1</x:v>
      </x:c>
      <x:c r="G748" s="25" t="n">
        <x:v>0.419025</x:v>
      </x:c>
      <x:c r="H748" t="n">
        <x:f>IF(G748&lt;$B$6,1,0)</x:f>
        <x:v>0</x:v>
      </x:c>
      <x:c r="I748" s="26" t="n">
        <x:f>H748*IF(F748=0,E748*$B$7,-E748*$B$8)</x:f>
        <x:v>0</x:v>
      </x:c>
    </x:row>
    <x:row r="749">
      <x:c r="A749" t="n">
        <x:v>8290</x:v>
      </x:c>
      <x:c r="B749" t="str">
        <x:v>2024-08</x:v>
      </x:c>
      <x:c r="C749" t="str">
        <x:v>Self employed</x:v>
      </x:c>
      <x:c r="D749" t="str">
        <x:v>Group A</x:v>
      </x:c>
      <x:c r="E749" s="26" t="n">
        <x:v>16423.41</x:v>
      </x:c>
      <x:c r="F749" t="n">
        <x:v>1</x:v>
      </x:c>
      <x:c r="G749" s="25" t="n">
        <x:v>0.160907</x:v>
      </x:c>
      <x:c r="H749" t="n">
        <x:f>IF(G749&lt;$B$6,1,0)</x:f>
        <x:v>0</x:v>
      </x:c>
      <x:c r="I749" s="26" t="n">
        <x:f>H749*IF(F749=0,E749*$B$7,-E749*$B$8)</x:f>
        <x:v>0</x:v>
      </x:c>
    </x:row>
    <x:row r="750">
      <x:c r="A750" t="n">
        <x:v>8310</x:v>
      </x:c>
      <x:c r="B750" t="str">
        <x:v>2024-08</x:v>
      </x:c>
      <x:c r="C750" t="str">
        <x:v>Salaried</x:v>
      </x:c>
      <x:c r="D750" t="str">
        <x:v>Group A</x:v>
      </x:c>
      <x:c r="E750" s="26" t="n">
        <x:v>16378.22</x:v>
      </x:c>
      <x:c r="F750" t="n">
        <x:v>1</x:v>
      </x:c>
      <x:c r="G750" s="25" t="n">
        <x:v>0.327795</x:v>
      </x:c>
      <x:c r="H750" t="n">
        <x:f>IF(G750&lt;$B$6,1,0)</x:f>
        <x:v>0</x:v>
      </x:c>
      <x:c r="I750" s="26" t="n">
        <x:f>H750*IF(F750=0,E750*$B$7,-E750*$B$8)</x:f>
        <x:v>0</x:v>
      </x:c>
    </x:row>
    <x:row r="751">
      <x:c r="A751" t="n">
        <x:v>8327</x:v>
      </x:c>
      <x:c r="B751" t="str">
        <x:v>2024-08</x:v>
      </x:c>
      <x:c r="C751" t="str">
        <x:v>Self employed</x:v>
      </x:c>
      <x:c r="D751" t="str">
        <x:v>Group A</x:v>
      </x:c>
      <x:c r="E751" s="26" t="n">
        <x:v>11501.21</x:v>
      </x:c>
      <x:c r="F751" t="n">
        <x:v>0</x:v>
      </x:c>
      <x:c r="G751" s="25" t="n">
        <x:v>0.150618</x:v>
      </x:c>
      <x:c r="H751" t="n">
        <x:f>IF(G751&lt;$B$6,1,0)</x:f>
        <x:v>1</x:v>
      </x:c>
      <x:c r="I751" s="26" t="n">
        <x:f>H751*IF(F751=0,E751*$B$7,-E751*$B$8)</x:f>
        <x:v>1380.1452</x:v>
      </x:c>
    </x:row>
    <x:row r="752">
      <x:c r="A752" t="n">
        <x:v>8333</x:v>
      </x:c>
      <x:c r="B752" t="str">
        <x:v>2024-08</x:v>
      </x:c>
      <x:c r="C752" t="str">
        <x:v>Self employed</x:v>
      </x:c>
      <x:c r="D752" t="str">
        <x:v>Group B</x:v>
      </x:c>
      <x:c r="E752" s="26" t="n">
        <x:v>49053.51</x:v>
      </x:c>
      <x:c r="F752" t="n">
        <x:v>0</x:v>
      </x:c>
      <x:c r="G752" s="25" t="n">
        <x:v>0.039687</x:v>
      </x:c>
      <x:c r="H752" t="n">
        <x:f>IF(G752&lt;$B$6,1,0)</x:f>
        <x:v>1</x:v>
      </x:c>
      <x:c r="I752" s="26" t="n">
        <x:f>H752*IF(F752=0,E752*$B$7,-E752*$B$8)</x:f>
        <x:v>5886.4212</x:v>
      </x:c>
    </x:row>
    <x:row r="753">
      <x:c r="A753" t="n">
        <x:v>8338</x:v>
      </x:c>
      <x:c r="B753" t="str">
        <x:v>2024-08</x:v>
      </x:c>
      <x:c r="C753" t="str">
        <x:v>Salaried</x:v>
      </x:c>
      <x:c r="D753" t="str">
        <x:v>Group B</x:v>
      </x:c>
      <x:c r="E753" s="26" t="n">
        <x:v>20636.39</x:v>
      </x:c>
      <x:c r="F753" t="n">
        <x:v>0</x:v>
      </x:c>
      <x:c r="G753" s="25" t="n">
        <x:v>0.293682</x:v>
      </x:c>
      <x:c r="H753" t="n">
        <x:f>IF(G753&lt;$B$6,1,0)</x:f>
        <x:v>0</x:v>
      </x:c>
      <x:c r="I753" s="26" t="n">
        <x:f>H753*IF(F753=0,E753*$B$7,-E753*$B$8)</x:f>
        <x:v>0</x:v>
      </x:c>
    </x:row>
    <x:row r="754">
      <x:c r="A754" t="n">
        <x:v>8351</x:v>
      </x:c>
      <x:c r="B754" t="str">
        <x:v>2024-08</x:v>
      </x:c>
      <x:c r="C754" t="str">
        <x:v>Salaried</x:v>
      </x:c>
      <x:c r="D754" t="str">
        <x:v>Group A</x:v>
      </x:c>
      <x:c r="E754" s="26" t="n">
        <x:v>23318.34</x:v>
      </x:c>
      <x:c r="F754" t="n">
        <x:v>1</x:v>
      </x:c>
      <x:c r="G754" s="25" t="n">
        <x:v>0.114689</x:v>
      </x:c>
      <x:c r="H754" t="n">
        <x:f>IF(G754&lt;$B$6,1,0)</x:f>
        <x:v>1</x:v>
      </x:c>
      <x:c r="I754" s="26" t="n">
        <x:f>H754*IF(F754=0,E754*$B$7,-E754*$B$8)</x:f>
        <x:v>-15156.921</x:v>
      </x:c>
    </x:row>
    <x:row r="755">
      <x:c r="A755" t="n">
        <x:v>8373</x:v>
      </x:c>
      <x:c r="B755" t="str">
        <x:v>2024-08</x:v>
      </x:c>
      <x:c r="C755" t="str">
        <x:v>Salaried</x:v>
      </x:c>
      <x:c r="D755" t="str">
        <x:v>Group A</x:v>
      </x:c>
      <x:c r="E755" s="26" t="n">
        <x:v>11227.45</x:v>
      </x:c>
      <x:c r="F755" t="n">
        <x:v>0</x:v>
      </x:c>
      <x:c r="G755" s="25" t="n">
        <x:v>0.078333</x:v>
      </x:c>
      <x:c r="H755" t="n">
        <x:f>IF(G755&lt;$B$6,1,0)</x:f>
        <x:v>1</x:v>
      </x:c>
      <x:c r="I755" s="26" t="n">
        <x:f>H755*IF(F755=0,E755*$B$7,-E755*$B$8)</x:f>
        <x:v>1347.294</x:v>
      </x:c>
    </x:row>
    <x:row r="756">
      <x:c r="A756" t="n">
        <x:v>8395</x:v>
      </x:c>
      <x:c r="B756" t="str">
        <x:v>2024-08</x:v>
      </x:c>
      <x:c r="C756" t="str">
        <x:v>Salaried</x:v>
      </x:c>
      <x:c r="D756" t="str">
        <x:v>Group A</x:v>
      </x:c>
      <x:c r="E756" s="26" t="n">
        <x:v>22900.34</x:v>
      </x:c>
      <x:c r="F756" t="n">
        <x:v>0</x:v>
      </x:c>
      <x:c r="G756" s="25" t="n">
        <x:v>0.679598</x:v>
      </x:c>
      <x:c r="H756" t="n">
        <x:f>IF(G756&lt;$B$6,1,0)</x:f>
        <x:v>0</x:v>
      </x:c>
      <x:c r="I756" s="26" t="n">
        <x:f>H756*IF(F756=0,E756*$B$7,-E756*$B$8)</x:f>
        <x:v>0</x:v>
      </x:c>
    </x:row>
    <x:row r="757">
      <x:c r="A757" t="n">
        <x:v>8401</x:v>
      </x:c>
      <x:c r="B757" t="str">
        <x:v>2024-08</x:v>
      </x:c>
      <x:c r="C757" t="str">
        <x:v>Salaried</x:v>
      </x:c>
      <x:c r="D757" t="str">
        <x:v>Group A</x:v>
      </x:c>
      <x:c r="E757" s="26" t="n">
        <x:v>10270.54</x:v>
      </x:c>
      <x:c r="F757" t="n">
        <x:v>0</x:v>
      </x:c>
      <x:c r="G757" s="25" t="n">
        <x:v>0.271922</x:v>
      </x:c>
      <x:c r="H757" t="n">
        <x:f>IF(G757&lt;$B$6,1,0)</x:f>
        <x:v>0</x:v>
      </x:c>
      <x:c r="I757" s="26" t="n">
        <x:f>H757*IF(F757=0,E757*$B$7,-E757*$B$8)</x:f>
        <x:v>0</x:v>
      </x:c>
    </x:row>
    <x:row r="758">
      <x:c r="A758" t="n">
        <x:v>8408</x:v>
      </x:c>
      <x:c r="B758" t="str">
        <x:v>2024-08</x:v>
      </x:c>
      <x:c r="C758" t="str">
        <x:v>Salaried</x:v>
      </x:c>
      <x:c r="D758" t="str">
        <x:v>Group B</x:v>
      </x:c>
      <x:c r="E758" s="26" t="n">
        <x:v>18756.33</x:v>
      </x:c>
      <x:c r="F758" t="n">
        <x:v>0</x:v>
      </x:c>
      <x:c r="G758" s="25" t="n">
        <x:v>0.266559</x:v>
      </x:c>
      <x:c r="H758" t="n">
        <x:f>IF(G758&lt;$B$6,1,0)</x:f>
        <x:v>0</x:v>
      </x:c>
      <x:c r="I758" s="26" t="n">
        <x:f>H758*IF(F758=0,E758*$B$7,-E758*$B$8)</x:f>
        <x:v>0</x:v>
      </x:c>
    </x:row>
    <x:row r="759">
      <x:c r="A759" t="n">
        <x:v>8422</x:v>
      </x:c>
      <x:c r="B759" t="str">
        <x:v>2024-08</x:v>
      </x:c>
      <x:c r="C759" t="str">
        <x:v>Self employed</x:v>
      </x:c>
      <x:c r="D759" t="str">
        <x:v>Group B</x:v>
      </x:c>
      <x:c r="E759" s="26" t="n">
        <x:v>19477.66</x:v>
      </x:c>
      <x:c r="F759" t="n">
        <x:v>1</x:v>
      </x:c>
      <x:c r="G759" s="25" t="n">
        <x:v>0.436218</x:v>
      </x:c>
      <x:c r="H759" t="n">
        <x:f>IF(G759&lt;$B$6,1,0)</x:f>
        <x:v>0</x:v>
      </x:c>
      <x:c r="I759" s="26" t="n">
        <x:f>H759*IF(F759=0,E759*$B$7,-E759*$B$8)</x:f>
        <x:v>0</x:v>
      </x:c>
    </x:row>
    <x:row r="760">
      <x:c r="A760" t="n">
        <x:v>8433</x:v>
      </x:c>
      <x:c r="B760" t="str">
        <x:v>2024-08</x:v>
      </x:c>
      <x:c r="C760" t="str">
        <x:v>Contract</x:v>
      </x:c>
      <x:c r="D760" t="str">
        <x:v>Group A</x:v>
      </x:c>
      <x:c r="E760" s="26" t="n">
        <x:v>7028.8</x:v>
      </x:c>
      <x:c r="F760" t="n">
        <x:v>1</x:v>
      </x:c>
      <x:c r="G760" s="25" t="n">
        <x:v>0.480522</x:v>
      </x:c>
      <x:c r="H760" t="n">
        <x:f>IF(G760&lt;$B$6,1,0)</x:f>
        <x:v>0</x:v>
      </x:c>
      <x:c r="I760" s="26" t="n">
        <x:f>H760*IF(F760=0,E760*$B$7,-E760*$B$8)</x:f>
        <x:v>0</x:v>
      </x:c>
    </x:row>
    <x:row r="761">
      <x:c r="A761" t="n">
        <x:v>8452</x:v>
      </x:c>
      <x:c r="B761" t="str">
        <x:v>2024-08</x:v>
      </x:c>
      <x:c r="C761" t="str">
        <x:v>Salaried</x:v>
      </x:c>
      <x:c r="D761" t="str">
        <x:v>Group B</x:v>
      </x:c>
      <x:c r="E761" s="26" t="n">
        <x:v>12374.42</x:v>
      </x:c>
      <x:c r="F761" t="n">
        <x:v>1</x:v>
      </x:c>
      <x:c r="G761" s="25" t="n">
        <x:v>0.323463</x:v>
      </x:c>
      <x:c r="H761" t="n">
        <x:f>IF(G761&lt;$B$6,1,0)</x:f>
        <x:v>0</x:v>
      </x:c>
      <x:c r="I761" s="26" t="n">
        <x:f>H761*IF(F761=0,E761*$B$7,-E761*$B$8)</x:f>
        <x:v>0</x:v>
      </x:c>
    </x:row>
    <x:row r="762">
      <x:c r="A762" t="n">
        <x:v>8484</x:v>
      </x:c>
      <x:c r="B762" t="str">
        <x:v>2024-08</x:v>
      </x:c>
      <x:c r="C762" t="str">
        <x:v>Contract</x:v>
      </x:c>
      <x:c r="D762" t="str">
        <x:v>Group B</x:v>
      </x:c>
      <x:c r="E762" s="26" t="n">
        <x:v>18282.06</x:v>
      </x:c>
      <x:c r="F762" t="n">
        <x:v>0</x:v>
      </x:c>
      <x:c r="G762" s="25" t="n">
        <x:v>0.433808</x:v>
      </x:c>
      <x:c r="H762" t="n">
        <x:f>IF(G762&lt;$B$6,1,0)</x:f>
        <x:v>0</x:v>
      </x:c>
      <x:c r="I762" s="26" t="n">
        <x:f>H762*IF(F762=0,E762*$B$7,-E762*$B$8)</x:f>
        <x:v>0</x:v>
      </x:c>
    </x:row>
    <x:row r="763">
      <x:c r="A763" t="n">
        <x:v>8495</x:v>
      </x:c>
      <x:c r="B763" t="str">
        <x:v>2024-08</x:v>
      </x:c>
      <x:c r="C763" t="str">
        <x:v>Salaried</x:v>
      </x:c>
      <x:c r="D763" t="str">
        <x:v>Group B</x:v>
      </x:c>
      <x:c r="E763" s="26" t="n">
        <x:v>70180.79</x:v>
      </x:c>
      <x:c r="F763" t="n">
        <x:v>1</x:v>
      </x:c>
      <x:c r="G763" s="25" t="n">
        <x:v>0.29468</x:v>
      </x:c>
      <x:c r="H763" t="n">
        <x:f>IF(G763&lt;$B$6,1,0)</x:f>
        <x:v>0</x:v>
      </x:c>
      <x:c r="I763" s="26" t="n">
        <x:f>H763*IF(F763=0,E763*$B$7,-E763*$B$8)</x:f>
        <x:v>0</x:v>
      </x:c>
    </x:row>
    <x:row r="764">
      <x:c r="A764" t="n">
        <x:v>8496</x:v>
      </x:c>
      <x:c r="B764" t="str">
        <x:v>2024-08</x:v>
      </x:c>
      <x:c r="C764" t="str">
        <x:v>Self employed</x:v>
      </x:c>
      <x:c r="D764" t="str">
        <x:v>Group A</x:v>
      </x:c>
      <x:c r="E764" s="26" t="n">
        <x:v>8228.75</x:v>
      </x:c>
      <x:c r="F764" t="n">
        <x:v>0</x:v>
      </x:c>
      <x:c r="G764" s="25" t="n">
        <x:v>0.482438</x:v>
      </x:c>
      <x:c r="H764" t="n">
        <x:f>IF(G764&lt;$B$6,1,0)</x:f>
        <x:v>0</x:v>
      </x:c>
      <x:c r="I764" s="26" t="n">
        <x:f>H764*IF(F764=0,E764*$B$7,-E764*$B$8)</x:f>
        <x:v>0</x:v>
      </x:c>
    </x:row>
    <x:row r="765">
      <x:c r="A765" t="n">
        <x:v>8511</x:v>
      </x:c>
      <x:c r="B765" t="str">
        <x:v>2024-08</x:v>
      </x:c>
      <x:c r="C765" t="str">
        <x:v>Contract</x:v>
      </x:c>
      <x:c r="D765" t="str">
        <x:v>Group B</x:v>
      </x:c>
      <x:c r="E765" s="26" t="n">
        <x:v>36447.62</x:v>
      </x:c>
      <x:c r="F765" t="n">
        <x:v>0</x:v>
      </x:c>
      <x:c r="G765" s="25" t="n">
        <x:v>0.359668</x:v>
      </x:c>
      <x:c r="H765" t="n">
        <x:f>IF(G765&lt;$B$6,1,0)</x:f>
        <x:v>0</x:v>
      </x:c>
      <x:c r="I765" s="26" t="n">
        <x:f>H765*IF(F765=0,E765*$B$7,-E765*$B$8)</x:f>
        <x:v>0</x:v>
      </x:c>
    </x:row>
    <x:row r="766">
      <x:c r="A766" t="n">
        <x:v>8518</x:v>
      </x:c>
      <x:c r="B766" t="str">
        <x:v>2024-08</x:v>
      </x:c>
      <x:c r="C766" t="str">
        <x:v>Self employed</x:v>
      </x:c>
      <x:c r="D766" t="str">
        <x:v>Group B</x:v>
      </x:c>
      <x:c r="E766" s="26" t="n">
        <x:v>25130.97</x:v>
      </x:c>
      <x:c r="F766" t="n">
        <x:v>0</x:v>
      </x:c>
      <x:c r="G766" s="25" t="n">
        <x:v>0.313466</x:v>
      </x:c>
      <x:c r="H766" t="n">
        <x:f>IF(G766&lt;$B$6,1,0)</x:f>
        <x:v>0</x:v>
      </x:c>
      <x:c r="I766" s="26" t="n">
        <x:f>H766*IF(F766=0,E766*$B$7,-E766*$B$8)</x:f>
        <x:v>0</x:v>
      </x:c>
    </x:row>
    <x:row r="767">
      <x:c r="A767" t="n">
        <x:v>8550</x:v>
      </x:c>
      <x:c r="B767" t="str">
        <x:v>2024-08</x:v>
      </x:c>
      <x:c r="C767" t="str">
        <x:v>Self employed</x:v>
      </x:c>
      <x:c r="D767" t="str">
        <x:v>Group B</x:v>
      </x:c>
      <x:c r="E767" s="26" t="n">
        <x:v>13512.77</x:v>
      </x:c>
      <x:c r="F767" t="n">
        <x:v>0</x:v>
      </x:c>
      <x:c r="G767" s="25" t="n">
        <x:v>0.320872</x:v>
      </x:c>
      <x:c r="H767" t="n">
        <x:f>IF(G767&lt;$B$6,1,0)</x:f>
        <x:v>0</x:v>
      </x:c>
      <x:c r="I767" s="26" t="n">
        <x:f>H767*IF(F767=0,E767*$B$7,-E767*$B$8)</x:f>
        <x:v>0</x:v>
      </x:c>
    </x:row>
    <x:row r="768">
      <x:c r="A768" t="n">
        <x:v>8554</x:v>
      </x:c>
      <x:c r="B768" t="str">
        <x:v>2024-08</x:v>
      </x:c>
      <x:c r="C768" t="str">
        <x:v>Salaried</x:v>
      </x:c>
      <x:c r="D768" t="str">
        <x:v>Group A</x:v>
      </x:c>
      <x:c r="E768" s="26" t="n">
        <x:v>11506.95</x:v>
      </x:c>
      <x:c r="F768" t="n">
        <x:v>1</x:v>
      </x:c>
      <x:c r="G768" s="25" t="n">
        <x:v>0.33311</x:v>
      </x:c>
      <x:c r="H768" t="n">
        <x:f>IF(G768&lt;$B$6,1,0)</x:f>
        <x:v>0</x:v>
      </x:c>
      <x:c r="I768" s="26" t="n">
        <x:f>H768*IF(F768=0,E768*$B$7,-E768*$B$8)</x:f>
        <x:v>0</x:v>
      </x:c>
    </x:row>
    <x:row r="769">
      <x:c r="A769" t="n">
        <x:v>8561</x:v>
      </x:c>
      <x:c r="B769" t="str">
        <x:v>2024-08</x:v>
      </x:c>
      <x:c r="C769" t="str">
        <x:v>Contract</x:v>
      </x:c>
      <x:c r="D769" t="str">
        <x:v>Group A</x:v>
      </x:c>
      <x:c r="E769" s="26" t="n">
        <x:v>16952.89</x:v>
      </x:c>
      <x:c r="F769" t="n">
        <x:v>0</x:v>
      </x:c>
      <x:c r="G769" s="25" t="n">
        <x:v>0.500553</x:v>
      </x:c>
      <x:c r="H769" t="n">
        <x:f>IF(G769&lt;$B$6,1,0)</x:f>
        <x:v>0</x:v>
      </x:c>
      <x:c r="I769" s="26" t="n">
        <x:f>H769*IF(F769=0,E769*$B$7,-E769*$B$8)</x:f>
        <x:v>0</x:v>
      </x:c>
    </x:row>
    <x:row r="770">
      <x:c r="A770" t="n">
        <x:v>8595</x:v>
      </x:c>
      <x:c r="B770" t="str">
        <x:v>2024-08</x:v>
      </x:c>
      <x:c r="C770" t="str">
        <x:v>Salaried</x:v>
      </x:c>
      <x:c r="D770" t="str">
        <x:v>Group B</x:v>
      </x:c>
      <x:c r="E770" s="26" t="n">
        <x:v>18841.28</x:v>
      </x:c>
      <x:c r="F770" t="n">
        <x:v>0</x:v>
      </x:c>
      <x:c r="G770" s="25" t="n">
        <x:v>0.036423</x:v>
      </x:c>
      <x:c r="H770" t="n">
        <x:f>IF(G770&lt;$B$6,1,0)</x:f>
        <x:v>1</x:v>
      </x:c>
      <x:c r="I770" s="26" t="n">
        <x:f>H770*IF(F770=0,E770*$B$7,-E770*$B$8)</x:f>
        <x:v>2260.9536</x:v>
      </x:c>
    </x:row>
    <x:row r="771">
      <x:c r="A771" t="n">
        <x:v>8603</x:v>
      </x:c>
      <x:c r="B771" t="str">
        <x:v>2024-08</x:v>
      </x:c>
      <x:c r="C771" t="str">
        <x:v>Salaried</x:v>
      </x:c>
      <x:c r="D771" t="str">
        <x:v>Group B</x:v>
      </x:c>
      <x:c r="E771" s="26" t="n">
        <x:v>5904.35</x:v>
      </x:c>
      <x:c r="F771" t="n">
        <x:v>0</x:v>
      </x:c>
      <x:c r="G771" s="25" t="n">
        <x:v>0.132433</x:v>
      </x:c>
      <x:c r="H771" t="n">
        <x:f>IF(G771&lt;$B$6,1,0)</x:f>
        <x:v>1</x:v>
      </x:c>
      <x:c r="I771" s="26" t="n">
        <x:f>H771*IF(F771=0,E771*$B$7,-E771*$B$8)</x:f>
        <x:v>708.522</x:v>
      </x:c>
    </x:row>
    <x:row r="772">
      <x:c r="A772" t="n">
        <x:v>8622</x:v>
      </x:c>
      <x:c r="B772" t="str">
        <x:v>2024-08</x:v>
      </x:c>
      <x:c r="C772" t="str">
        <x:v>Salaried</x:v>
      </x:c>
      <x:c r="D772" t="str">
        <x:v>Group B</x:v>
      </x:c>
      <x:c r="E772" s="26" t="n">
        <x:v>15072.11</x:v>
      </x:c>
      <x:c r="F772" t="n">
        <x:v>0</x:v>
      </x:c>
      <x:c r="G772" s="25" t="n">
        <x:v>0.102463</x:v>
      </x:c>
      <x:c r="H772" t="n">
        <x:f>IF(G772&lt;$B$6,1,0)</x:f>
        <x:v>1</x:v>
      </x:c>
      <x:c r="I772" s="26" t="n">
        <x:f>H772*IF(F772=0,E772*$B$7,-E772*$B$8)</x:f>
        <x:v>1808.6532</x:v>
      </x:c>
    </x:row>
    <x:row r="773">
      <x:c r="A773" t="n">
        <x:v>8628</x:v>
      </x:c>
      <x:c r="B773" t="str">
        <x:v>2024-08</x:v>
      </x:c>
      <x:c r="C773" t="str">
        <x:v>Contract</x:v>
      </x:c>
      <x:c r="D773" t="str">
        <x:v>Group B</x:v>
      </x:c>
      <x:c r="E773" s="26" t="n">
        <x:v>13006.76</x:v>
      </x:c>
      <x:c r="F773" t="n">
        <x:v>0</x:v>
      </x:c>
      <x:c r="G773" s="25" t="n">
        <x:v>0.088951</x:v>
      </x:c>
      <x:c r="H773" t="n">
        <x:f>IF(G773&lt;$B$6,1,0)</x:f>
        <x:v>1</x:v>
      </x:c>
      <x:c r="I773" s="26" t="n">
        <x:f>H773*IF(F773=0,E773*$B$7,-E773*$B$8)</x:f>
        <x:v>1560.8111999999999</x:v>
      </x:c>
    </x:row>
    <x:row r="774">
      <x:c r="A774" t="n">
        <x:v>8653</x:v>
      </x:c>
      <x:c r="B774" t="str">
        <x:v>2024-08</x:v>
      </x:c>
      <x:c r="C774" t="str">
        <x:v>Contract</x:v>
      </x:c>
      <x:c r="D774" t="str">
        <x:v>Group B</x:v>
      </x:c>
      <x:c r="E774" s="26" t="n">
        <x:v>34172.15</x:v>
      </x:c>
      <x:c r="F774" t="n">
        <x:v>1</x:v>
      </x:c>
      <x:c r="G774" s="25" t="n">
        <x:v>0.12525</x:v>
      </x:c>
      <x:c r="H774" t="n">
        <x:f>IF(G774&lt;$B$6,1,0)</x:f>
        <x:v>1</x:v>
      </x:c>
      <x:c r="I774" s="26" t="n">
        <x:f>H774*IF(F774=0,E774*$B$7,-E774*$B$8)</x:f>
        <x:v>-22211.897500000003</x:v>
      </x:c>
    </x:row>
    <x:row r="775">
      <x:c r="A775" t="n">
        <x:v>8679</x:v>
      </x:c>
      <x:c r="B775" t="str">
        <x:v>2024-08</x:v>
      </x:c>
      <x:c r="C775" t="str">
        <x:v>Salaried</x:v>
      </x:c>
      <x:c r="D775" t="str">
        <x:v>Group B</x:v>
      </x:c>
      <x:c r="E775" s="26" t="n">
        <x:v>15618.59</x:v>
      </x:c>
      <x:c r="F775" t="n">
        <x:v>0</x:v>
      </x:c>
      <x:c r="G775" s="25" t="n">
        <x:v>0.390036</x:v>
      </x:c>
      <x:c r="H775" t="n">
        <x:f>IF(G775&lt;$B$6,1,0)</x:f>
        <x:v>0</x:v>
      </x:c>
      <x:c r="I775" s="26" t="n">
        <x:f>H775*IF(F775=0,E775*$B$7,-E775*$B$8)</x:f>
        <x:v>0</x:v>
      </x:c>
    </x:row>
    <x:row r="776">
      <x:c r="A776" t="n">
        <x:v>8708</x:v>
      </x:c>
      <x:c r="B776" t="str">
        <x:v>2024-08</x:v>
      </x:c>
      <x:c r="C776" t="str">
        <x:v>Salaried</x:v>
      </x:c>
      <x:c r="D776" t="str">
        <x:v>Group B</x:v>
      </x:c>
      <x:c r="E776" s="26" t="n">
        <x:v>16560.66</x:v>
      </x:c>
      <x:c r="F776" t="n">
        <x:v>1</x:v>
      </x:c>
      <x:c r="G776" s="25" t="n">
        <x:v>0.282925</x:v>
      </x:c>
      <x:c r="H776" t="n">
        <x:f>IF(G776&lt;$B$6,1,0)</x:f>
        <x:v>0</x:v>
      </x:c>
      <x:c r="I776" s="26" t="n">
        <x:f>H776*IF(F776=0,E776*$B$7,-E776*$B$8)</x:f>
        <x:v>0</x:v>
      </x:c>
    </x:row>
    <x:row r="777">
      <x:c r="A777" t="n">
        <x:v>8722</x:v>
      </x:c>
      <x:c r="B777" t="str">
        <x:v>2024-08</x:v>
      </x:c>
      <x:c r="C777" t="str">
        <x:v>Salaried</x:v>
      </x:c>
      <x:c r="D777" t="str">
        <x:v>Group A</x:v>
      </x:c>
      <x:c r="E777" s="26" t="n">
        <x:v>12092.92</x:v>
      </x:c>
      <x:c r="F777" t="n">
        <x:v>0</x:v>
      </x:c>
      <x:c r="G777" s="25" t="n">
        <x:v>0.048713</x:v>
      </x:c>
      <x:c r="H777" t="n">
        <x:f>IF(G777&lt;$B$6,1,0)</x:f>
        <x:v>1</x:v>
      </x:c>
      <x:c r="I777" s="26" t="n">
        <x:f>H777*IF(F777=0,E777*$B$7,-E777*$B$8)</x:f>
        <x:v>1451.1504</x:v>
      </x:c>
    </x:row>
    <x:row r="778">
      <x:c r="A778" t="n">
        <x:v>8735</x:v>
      </x:c>
      <x:c r="B778" t="str">
        <x:v>2024-08</x:v>
      </x:c>
      <x:c r="C778" t="str">
        <x:v>Self employed</x:v>
      </x:c>
      <x:c r="D778" t="str">
        <x:v>Group B</x:v>
      </x:c>
      <x:c r="E778" s="26" t="n">
        <x:v>14821.17</x:v>
      </x:c>
      <x:c r="F778" t="n">
        <x:v>0</x:v>
      </x:c>
      <x:c r="G778" s="25" t="n">
        <x:v>0.104603</x:v>
      </x:c>
      <x:c r="H778" t="n">
        <x:f>IF(G778&lt;$B$6,1,0)</x:f>
        <x:v>1</x:v>
      </x:c>
      <x:c r="I778" s="26" t="n">
        <x:f>H778*IF(F778=0,E778*$B$7,-E778*$B$8)</x:f>
        <x:v>1778.5403999999999</x:v>
      </x:c>
    </x:row>
    <x:row r="779">
      <x:c r="A779" t="n">
        <x:v>8736</x:v>
      </x:c>
      <x:c r="B779" t="str">
        <x:v>2024-08</x:v>
      </x:c>
      <x:c r="C779" t="str">
        <x:v>Self employed</x:v>
      </x:c>
      <x:c r="D779" t="str">
        <x:v>Group A</x:v>
      </x:c>
      <x:c r="E779" s="26" t="n">
        <x:v>2865.12</x:v>
      </x:c>
      <x:c r="F779" t="n">
        <x:v>1</x:v>
      </x:c>
      <x:c r="G779" s="25" t="n">
        <x:v>0.483644</x:v>
      </x:c>
      <x:c r="H779" t="n">
        <x:f>IF(G779&lt;$B$6,1,0)</x:f>
        <x:v>0</x:v>
      </x:c>
      <x:c r="I779" s="26" t="n">
        <x:f>H779*IF(F779=0,E779*$B$7,-E779*$B$8)</x:f>
        <x:v>0</x:v>
      </x:c>
    </x:row>
    <x:row r="780">
      <x:c r="A780" t="n">
        <x:v>8744</x:v>
      </x:c>
      <x:c r="B780" t="str">
        <x:v>2024-08</x:v>
      </x:c>
      <x:c r="C780" t="str">
        <x:v>Salaried</x:v>
      </x:c>
      <x:c r="D780" t="str">
        <x:v>Group B</x:v>
      </x:c>
      <x:c r="E780" s="26" t="n">
        <x:v>35458.16</x:v>
      </x:c>
      <x:c r="F780" t="n">
        <x:v>0</x:v>
      </x:c>
      <x:c r="G780" s="25" t="n">
        <x:v>0.237404</x:v>
      </x:c>
      <x:c r="H780" t="n">
        <x:f>IF(G780&lt;$B$6,1,0)</x:f>
        <x:v>0</x:v>
      </x:c>
      <x:c r="I780" s="26" t="n">
        <x:f>H780*IF(F780=0,E780*$B$7,-E780*$B$8)</x:f>
        <x:v>0</x:v>
      </x:c>
    </x:row>
    <x:row r="781">
      <x:c r="A781" t="n">
        <x:v>8748</x:v>
      </x:c>
      <x:c r="B781" t="str">
        <x:v>2024-08</x:v>
      </x:c>
      <x:c r="C781" t="str">
        <x:v>Contract</x:v>
      </x:c>
      <x:c r="D781" t="str">
        <x:v>Group B</x:v>
      </x:c>
      <x:c r="E781" s="26" t="n">
        <x:v>34418.61</x:v>
      </x:c>
      <x:c r="F781" t="n">
        <x:v>0</x:v>
      </x:c>
      <x:c r="G781" s="25" t="n">
        <x:v>0.160339</x:v>
      </x:c>
      <x:c r="H781" t="n">
        <x:f>IF(G781&lt;$B$6,1,0)</x:f>
        <x:v>0</x:v>
      </x:c>
      <x:c r="I781" s="26" t="n">
        <x:f>H781*IF(F781=0,E781*$B$7,-E781*$B$8)</x:f>
        <x:v>0</x:v>
      </x:c>
    </x:row>
    <x:row r="782">
      <x:c r="A782" t="n">
        <x:v>8750</x:v>
      </x:c>
      <x:c r="B782" t="str">
        <x:v>2024-08</x:v>
      </x:c>
      <x:c r="C782" t="str">
        <x:v>Salaried</x:v>
      </x:c>
      <x:c r="D782" t="str">
        <x:v>Group A</x:v>
      </x:c>
      <x:c r="E782" s="26" t="n">
        <x:v>7600.04</x:v>
      </x:c>
      <x:c r="F782" t="n">
        <x:v>0</x:v>
      </x:c>
      <x:c r="G782" s="25" t="n">
        <x:v>0.354293</x:v>
      </x:c>
      <x:c r="H782" t="n">
        <x:f>IF(G782&lt;$B$6,1,0)</x:f>
        <x:v>0</x:v>
      </x:c>
      <x:c r="I782" s="26" t="n">
        <x:f>H782*IF(F782=0,E782*$B$7,-E782*$B$8)</x:f>
        <x:v>0</x:v>
      </x:c>
    </x:row>
    <x:row r="783">
      <x:c r="A783" t="n">
        <x:v>8777</x:v>
      </x:c>
      <x:c r="B783" t="str">
        <x:v>2024-08</x:v>
      </x:c>
      <x:c r="C783" t="str">
        <x:v>Salaried</x:v>
      </x:c>
      <x:c r="D783" t="str">
        <x:v>Group B</x:v>
      </x:c>
      <x:c r="E783" s="26" t="n">
        <x:v>51680.19</x:v>
      </x:c>
      <x:c r="F783" t="n">
        <x:v>1</x:v>
      </x:c>
      <x:c r="G783" s="25" t="n">
        <x:v>0.452103</x:v>
      </x:c>
      <x:c r="H783" t="n">
        <x:f>IF(G783&lt;$B$6,1,0)</x:f>
        <x:v>0</x:v>
      </x:c>
      <x:c r="I783" s="26" t="n">
        <x:f>H783*IF(F783=0,E783*$B$7,-E783*$B$8)</x:f>
        <x:v>0</x:v>
      </x:c>
    </x:row>
    <x:row r="784">
      <x:c r="A784" t="n">
        <x:v>8799</x:v>
      </x:c>
      <x:c r="B784" t="str">
        <x:v>2024-08</x:v>
      </x:c>
      <x:c r="C784" t="str">
        <x:v>Salaried</x:v>
      </x:c>
      <x:c r="D784" t="str">
        <x:v>Group B</x:v>
      </x:c>
      <x:c r="E784" s="26" t="n">
        <x:v>10093.58</x:v>
      </x:c>
      <x:c r="F784" t="n">
        <x:v>1</x:v>
      </x:c>
      <x:c r="G784" s="25" t="n">
        <x:v>0.226613</x:v>
      </x:c>
      <x:c r="H784" t="n">
        <x:f>IF(G784&lt;$B$6,1,0)</x:f>
        <x:v>0</x:v>
      </x:c>
      <x:c r="I784" s="26" t="n">
        <x:f>H784*IF(F784=0,E784*$B$7,-E784*$B$8)</x:f>
        <x:v>0</x:v>
      </x:c>
    </x:row>
    <x:row r="785">
      <x:c r="A785" t="n">
        <x:v>8807</x:v>
      </x:c>
      <x:c r="B785" t="str">
        <x:v>2024-08</x:v>
      </x:c>
      <x:c r="C785" t="str">
        <x:v>Contract</x:v>
      </x:c>
      <x:c r="D785" t="str">
        <x:v>Group B</x:v>
      </x:c>
      <x:c r="E785" s="26" t="n">
        <x:v>2807.05</x:v>
      </x:c>
      <x:c r="F785" t="n">
        <x:v>0</x:v>
      </x:c>
      <x:c r="G785" s="25" t="n">
        <x:v>0.094938</x:v>
      </x:c>
      <x:c r="H785" t="n">
        <x:f>IF(G785&lt;$B$6,1,0)</x:f>
        <x:v>1</x:v>
      </x:c>
      <x:c r="I785" s="26" t="n">
        <x:f>H785*IF(F785=0,E785*$B$7,-E785*$B$8)</x:f>
        <x:v>336.846</x:v>
      </x:c>
    </x:row>
    <x:row r="786">
      <x:c r="A786" t="n">
        <x:v>8819</x:v>
      </x:c>
      <x:c r="B786" t="str">
        <x:v>2024-08</x:v>
      </x:c>
      <x:c r="C786" t="str">
        <x:v>Self employed</x:v>
      </x:c>
      <x:c r="D786" t="str">
        <x:v>Group B</x:v>
      </x:c>
      <x:c r="E786" s="26" t="n">
        <x:v>32192.73</x:v>
      </x:c>
      <x:c r="F786" t="n">
        <x:v>1</x:v>
      </x:c>
      <x:c r="G786" s="25" t="n">
        <x:v>0.149883</x:v>
      </x:c>
      <x:c r="H786" t="n">
        <x:f>IF(G786&lt;$B$6,1,0)</x:f>
        <x:v>1</x:v>
      </x:c>
      <x:c r="I786" s="26" t="n">
        <x:f>H786*IF(F786=0,E786*$B$7,-E786*$B$8)</x:f>
        <x:v>-20925.2745</x:v>
      </x:c>
    </x:row>
    <x:row r="787">
      <x:c r="A787" t="n">
        <x:v>8825</x:v>
      </x:c>
      <x:c r="B787" t="str">
        <x:v>2024-08</x:v>
      </x:c>
      <x:c r="C787" t="str">
        <x:v>Contract</x:v>
      </x:c>
      <x:c r="D787" t="str">
        <x:v>Group A</x:v>
      </x:c>
      <x:c r="E787" s="26" t="n">
        <x:v>16935.02</x:v>
      </x:c>
      <x:c r="F787" t="n">
        <x:v>1</x:v>
      </x:c>
      <x:c r="G787" s="25" t="n">
        <x:v>0.274983</x:v>
      </x:c>
      <x:c r="H787" t="n">
        <x:f>IF(G787&lt;$B$6,1,0)</x:f>
        <x:v>0</x:v>
      </x:c>
      <x:c r="I787" s="26" t="n">
        <x:f>H787*IF(F787=0,E787*$B$7,-E787*$B$8)</x:f>
        <x:v>0</x:v>
      </x:c>
    </x:row>
    <x:row r="788">
      <x:c r="A788" t="n">
        <x:v>8849</x:v>
      </x:c>
      <x:c r="B788" t="str">
        <x:v>2024-08</x:v>
      </x:c>
      <x:c r="C788" t="str">
        <x:v>Salaried</x:v>
      </x:c>
      <x:c r="D788" t="str">
        <x:v>Group A</x:v>
      </x:c>
      <x:c r="E788" s="26" t="n">
        <x:v>27195.42</x:v>
      </x:c>
      <x:c r="F788" t="n">
        <x:v>0</x:v>
      </x:c>
      <x:c r="G788" s="25" t="n">
        <x:v>0.195579</x:v>
      </x:c>
      <x:c r="H788" t="n">
        <x:f>IF(G788&lt;$B$6,1,0)</x:f>
        <x:v>0</x:v>
      </x:c>
      <x:c r="I788" s="26" t="n">
        <x:f>H788*IF(F788=0,E788*$B$7,-E788*$B$8)</x:f>
        <x:v>0</x:v>
      </x:c>
    </x:row>
    <x:row r="789">
      <x:c r="A789" t="n">
        <x:v>8886</x:v>
      </x:c>
      <x:c r="B789" t="str">
        <x:v>2024-08</x:v>
      </x:c>
      <x:c r="C789" t="str">
        <x:v>Salaried</x:v>
      </x:c>
      <x:c r="D789" t="str">
        <x:v>Group B</x:v>
      </x:c>
      <x:c r="E789" s="26" t="n">
        <x:v>9107.37</x:v>
      </x:c>
      <x:c r="F789" t="n">
        <x:v>0</x:v>
      </x:c>
      <x:c r="G789" s="25" t="n">
        <x:v>0.064761</x:v>
      </x:c>
      <x:c r="H789" t="n">
        <x:f>IF(G789&lt;$B$6,1,0)</x:f>
        <x:v>1</x:v>
      </x:c>
      <x:c r="I789" s="26" t="n">
        <x:f>H789*IF(F789=0,E789*$B$7,-E789*$B$8)</x:f>
        <x:v>1092.8844000000001</x:v>
      </x:c>
    </x:row>
    <x:row r="790">
      <x:c r="A790" t="n">
        <x:v>8932</x:v>
      </x:c>
      <x:c r="B790" t="str">
        <x:v>2024-08</x:v>
      </x:c>
      <x:c r="C790" t="str">
        <x:v>Salaried</x:v>
      </x:c>
      <x:c r="D790" t="str">
        <x:v>Group A</x:v>
      </x:c>
      <x:c r="E790" s="26" t="n">
        <x:v>27317.47</x:v>
      </x:c>
      <x:c r="F790" t="n">
        <x:v>0</x:v>
      </x:c>
      <x:c r="G790" s="25" t="n">
        <x:v>0.631591</x:v>
      </x:c>
      <x:c r="H790" t="n">
        <x:f>IF(G790&lt;$B$6,1,0)</x:f>
        <x:v>0</x:v>
      </x:c>
      <x:c r="I790" s="26" t="n">
        <x:f>H790*IF(F790=0,E790*$B$7,-E790*$B$8)</x:f>
        <x:v>0</x:v>
      </x:c>
    </x:row>
    <x:row r="791">
      <x:c r="A791" t="n">
        <x:v>8947</x:v>
      </x:c>
      <x:c r="B791" t="str">
        <x:v>2024-08</x:v>
      </x:c>
      <x:c r="C791" t="str">
        <x:v>Salaried</x:v>
      </x:c>
      <x:c r="D791" t="str">
        <x:v>Group A</x:v>
      </x:c>
      <x:c r="E791" s="26" t="n">
        <x:v>15861.58</x:v>
      </x:c>
      <x:c r="F791" t="n">
        <x:v>1</x:v>
      </x:c>
      <x:c r="G791" s="25" t="n">
        <x:v>0.318592</x:v>
      </x:c>
      <x:c r="H791" t="n">
        <x:f>IF(G791&lt;$B$6,1,0)</x:f>
        <x:v>0</x:v>
      </x:c>
      <x:c r="I791" s="26" t="n">
        <x:f>H791*IF(F791=0,E791*$B$7,-E791*$B$8)</x:f>
        <x:v>0</x:v>
      </x:c>
    </x:row>
    <x:row r="792">
      <x:c r="A792" t="n">
        <x:v>8955</x:v>
      </x:c>
      <x:c r="B792" t="str">
        <x:v>2024-08</x:v>
      </x:c>
      <x:c r="C792" t="str">
        <x:v>Salaried</x:v>
      </x:c>
      <x:c r="D792" t="str">
        <x:v>Group A</x:v>
      </x:c>
      <x:c r="E792" s="26" t="n">
        <x:v>3737.01</x:v>
      </x:c>
      <x:c r="F792" t="n">
        <x:v>0</x:v>
      </x:c>
      <x:c r="G792" s="25" t="n">
        <x:v>0.09303</x:v>
      </x:c>
      <x:c r="H792" t="n">
        <x:f>IF(G792&lt;$B$6,1,0)</x:f>
        <x:v>1</x:v>
      </x:c>
      <x:c r="I792" s="26" t="n">
        <x:f>H792*IF(F792=0,E792*$B$7,-E792*$B$8)</x:f>
        <x:v>448.44120000000004</x:v>
      </x:c>
    </x:row>
    <x:row r="793">
      <x:c r="A793" t="n">
        <x:v>8990</x:v>
      </x:c>
      <x:c r="B793" t="str">
        <x:v>2024-08</x:v>
      </x:c>
      <x:c r="C793" t="str">
        <x:v>Contract</x:v>
      </x:c>
      <x:c r="D793" t="str">
        <x:v>Group B</x:v>
      </x:c>
      <x:c r="E793" s="26" t="n">
        <x:v>20786.16</x:v>
      </x:c>
      <x:c r="F793" t="n">
        <x:v>0</x:v>
      </x:c>
      <x:c r="G793" s="25" t="n">
        <x:v>0.062263</x:v>
      </x:c>
      <x:c r="H793" t="n">
        <x:f>IF(G793&lt;$B$6,1,0)</x:f>
        <x:v>1</x:v>
      </x:c>
      <x:c r="I793" s="26" t="n">
        <x:f>H793*IF(F793=0,E793*$B$7,-E793*$B$8)</x:f>
        <x:v>2494.3392</x:v>
      </x:c>
    </x:row>
    <x:row r="794">
      <x:c r="A794" t="n">
        <x:v>9013</x:v>
      </x:c>
      <x:c r="B794" t="str">
        <x:v>2024-08</x:v>
      </x:c>
      <x:c r="C794" t="str">
        <x:v>Salaried</x:v>
      </x:c>
      <x:c r="D794" t="str">
        <x:v>Group A</x:v>
      </x:c>
      <x:c r="E794" s="26" t="n">
        <x:v>44117.83</x:v>
      </x:c>
      <x:c r="F794" t="n">
        <x:v>1</x:v>
      </x:c>
      <x:c r="G794" s="25" t="n">
        <x:v>0.745797</x:v>
      </x:c>
      <x:c r="H794" t="n">
        <x:f>IF(G794&lt;$B$6,1,0)</x:f>
        <x:v>0</x:v>
      </x:c>
      <x:c r="I794" s="26" t="n">
        <x:f>H794*IF(F794=0,E794*$B$7,-E794*$B$8)</x:f>
        <x:v>0</x:v>
      </x:c>
    </x:row>
    <x:row r="795">
      <x:c r="A795" t="n">
        <x:v>9018</x:v>
      </x:c>
      <x:c r="B795" t="str">
        <x:v>2024-08</x:v>
      </x:c>
      <x:c r="C795" t="str">
        <x:v>Salaried</x:v>
      </x:c>
      <x:c r="D795" t="str">
        <x:v>Group B</x:v>
      </x:c>
      <x:c r="E795" s="26" t="n">
        <x:v>18997.01</x:v>
      </x:c>
      <x:c r="F795" t="n">
        <x:v>1</x:v>
      </x:c>
      <x:c r="G795" s="25" t="n">
        <x:v>0.224299</x:v>
      </x:c>
      <x:c r="H795" t="n">
        <x:f>IF(G795&lt;$B$6,1,0)</x:f>
        <x:v>0</x:v>
      </x:c>
      <x:c r="I795" s="26" t="n">
        <x:f>H795*IF(F795=0,E795*$B$7,-E795*$B$8)</x:f>
        <x:v>0</x:v>
      </x:c>
    </x:row>
    <x:row r="796">
      <x:c r="A796" t="n">
        <x:v>9024</x:v>
      </x:c>
      <x:c r="B796" t="str">
        <x:v>2024-08</x:v>
      </x:c>
      <x:c r="C796" t="str">
        <x:v>Salaried</x:v>
      </x:c>
      <x:c r="D796" t="str">
        <x:v>Group B</x:v>
      </x:c>
      <x:c r="E796" s="26" t="n">
        <x:v>9678.77</x:v>
      </x:c>
      <x:c r="F796" t="n">
        <x:v>1</x:v>
      </x:c>
      <x:c r="G796" s="25" t="n">
        <x:v>0.136948</x:v>
      </x:c>
      <x:c r="H796" t="n">
        <x:f>IF(G796&lt;$B$6,1,0)</x:f>
        <x:v>1</x:v>
      </x:c>
      <x:c r="I796" s="26" t="n">
        <x:f>H796*IF(F796=0,E796*$B$7,-E796*$B$8)</x:f>
        <x:v>-6291.200500000001</x:v>
      </x:c>
    </x:row>
    <x:row r="797">
      <x:c r="A797" t="n">
        <x:v>9037</x:v>
      </x:c>
      <x:c r="B797" t="str">
        <x:v>2024-08</x:v>
      </x:c>
      <x:c r="C797" t="str">
        <x:v>Salaried</x:v>
      </x:c>
      <x:c r="D797" t="str">
        <x:v>Group B</x:v>
      </x:c>
      <x:c r="E797" s="26" t="n">
        <x:v>16048.39</x:v>
      </x:c>
      <x:c r="F797" t="n">
        <x:v>0</x:v>
      </x:c>
      <x:c r="G797" s="25" t="n">
        <x:v>0.393303</x:v>
      </x:c>
      <x:c r="H797" t="n">
        <x:f>IF(G797&lt;$B$6,1,0)</x:f>
        <x:v>0</x:v>
      </x:c>
      <x:c r="I797" s="26" t="n">
        <x:f>H797*IF(F797=0,E797*$B$7,-E797*$B$8)</x:f>
        <x:v>0</x:v>
      </x:c>
    </x:row>
    <x:row r="798">
      <x:c r="A798" t="n">
        <x:v>9043</x:v>
      </x:c>
      <x:c r="B798" t="str">
        <x:v>2024-08</x:v>
      </x:c>
      <x:c r="C798" t="str">
        <x:v>Self employed</x:v>
      </x:c>
      <x:c r="D798" t="str">
        <x:v>Group B</x:v>
      </x:c>
      <x:c r="E798" s="26" t="n">
        <x:v>13152.15</x:v>
      </x:c>
      <x:c r="F798" t="n">
        <x:v>0</x:v>
      </x:c>
      <x:c r="G798" s="25" t="n">
        <x:v>0.204684</x:v>
      </x:c>
      <x:c r="H798" t="n">
        <x:f>IF(G798&lt;$B$6,1,0)</x:f>
        <x:v>0</x:v>
      </x:c>
      <x:c r="I798" s="26" t="n">
        <x:f>H798*IF(F798=0,E798*$B$7,-E798*$B$8)</x:f>
        <x:v>0</x:v>
      </x:c>
    </x:row>
    <x:row r="799">
      <x:c r="A799" t="n">
        <x:v>9054</x:v>
      </x:c>
      <x:c r="B799" t="str">
        <x:v>2024-08</x:v>
      </x:c>
      <x:c r="C799" t="str">
        <x:v>Self employed</x:v>
      </x:c>
      <x:c r="D799" t="str">
        <x:v>Group A</x:v>
      </x:c>
      <x:c r="E799" s="26" t="n">
        <x:v>12674.52</x:v>
      </x:c>
      <x:c r="F799" t="n">
        <x:v>0</x:v>
      </x:c>
      <x:c r="G799" s="25" t="n">
        <x:v>0.11083</x:v>
      </x:c>
      <x:c r="H799" t="n">
        <x:f>IF(G799&lt;$B$6,1,0)</x:f>
        <x:v>1</x:v>
      </x:c>
      <x:c r="I799" s="26" t="n">
        <x:f>H799*IF(F799=0,E799*$B$7,-E799*$B$8)</x:f>
        <x:v>1520.9424</x:v>
      </x:c>
    </x:row>
    <x:row r="800">
      <x:c r="A800" t="n">
        <x:v>9107</x:v>
      </x:c>
      <x:c r="B800" t="str">
        <x:v>2024-08</x:v>
      </x:c>
      <x:c r="C800" t="str">
        <x:v>Self employed</x:v>
      </x:c>
      <x:c r="D800" t="str">
        <x:v>Group A</x:v>
      </x:c>
      <x:c r="E800" s="26" t="n">
        <x:v>19008.66</x:v>
      </x:c>
      <x:c r="F800" t="n">
        <x:v>0</x:v>
      </x:c>
      <x:c r="G800" s="25" t="n">
        <x:v>0.519044</x:v>
      </x:c>
      <x:c r="H800" t="n">
        <x:f>IF(G800&lt;$B$6,1,0)</x:f>
        <x:v>0</x:v>
      </x:c>
      <x:c r="I800" s="26" t="n">
        <x:f>H800*IF(F800=0,E800*$B$7,-E800*$B$8)</x:f>
        <x:v>0</x:v>
      </x:c>
    </x:row>
    <x:row r="801">
      <x:c r="A801" t="n">
        <x:v>9120</x:v>
      </x:c>
      <x:c r="B801" t="str">
        <x:v>2024-08</x:v>
      </x:c>
      <x:c r="C801" t="str">
        <x:v>Salaried</x:v>
      </x:c>
      <x:c r="D801" t="str">
        <x:v>Group A</x:v>
      </x:c>
      <x:c r="E801" s="26" t="n">
        <x:v>15921.94</x:v>
      </x:c>
      <x:c r="F801" t="n">
        <x:v>0</x:v>
      </x:c>
      <x:c r="G801" s="25" t="n">
        <x:v>0.163397</x:v>
      </x:c>
      <x:c r="H801" t="n">
        <x:f>IF(G801&lt;$B$6,1,0)</x:f>
        <x:v>0</x:v>
      </x:c>
      <x:c r="I801" s="26" t="n">
        <x:f>H801*IF(F801=0,E801*$B$7,-E801*$B$8)</x:f>
        <x:v>0</x:v>
      </x:c>
    </x:row>
    <x:row r="802">
      <x:c r="A802" t="n">
        <x:v>9124</x:v>
      </x:c>
      <x:c r="B802" t="str">
        <x:v>2024-08</x:v>
      </x:c>
      <x:c r="C802" t="str">
        <x:v>Salaried</x:v>
      </x:c>
      <x:c r="D802" t="str">
        <x:v>Group A</x:v>
      </x:c>
      <x:c r="E802" s="26" t="n">
        <x:v>54329.59</x:v>
      </x:c>
      <x:c r="F802" t="n">
        <x:v>0</x:v>
      </x:c>
      <x:c r="G802" s="25" t="n">
        <x:v>0.060725</x:v>
      </x:c>
      <x:c r="H802" t="n">
        <x:f>IF(G802&lt;$B$6,1,0)</x:f>
        <x:v>1</x:v>
      </x:c>
      <x:c r="I802" s="26" t="n">
        <x:f>H802*IF(F802=0,E802*$B$7,-E802*$B$8)</x:f>
        <x:v>6519.550799999999</x:v>
      </x:c>
    </x:row>
    <x:row r="803">
      <x:c r="A803" t="n">
        <x:v>9132</x:v>
      </x:c>
      <x:c r="B803" t="str">
        <x:v>2024-08</x:v>
      </x:c>
      <x:c r="C803" t="str">
        <x:v>Self employed</x:v>
      </x:c>
      <x:c r="D803" t="str">
        <x:v>Group A</x:v>
      </x:c>
      <x:c r="E803" s="26" t="n">
        <x:v>9712.74</x:v>
      </x:c>
      <x:c r="F803" t="n">
        <x:v>0</x:v>
      </x:c>
      <x:c r="G803" s="25" t="n">
        <x:v>0.103776</x:v>
      </x:c>
      <x:c r="H803" t="n">
        <x:f>IF(G803&lt;$B$6,1,0)</x:f>
        <x:v>1</x:v>
      </x:c>
      <x:c r="I803" s="26" t="n">
        <x:f>H803*IF(F803=0,E803*$B$7,-E803*$B$8)</x:f>
        <x:v>1165.5287999999998</x:v>
      </x:c>
    </x:row>
    <x:row r="804">
      <x:c r="A804" t="n">
        <x:v>9141</x:v>
      </x:c>
      <x:c r="B804" t="str">
        <x:v>2024-08</x:v>
      </x:c>
      <x:c r="C804" t="str">
        <x:v>Self employed</x:v>
      </x:c>
      <x:c r="D804" t="str">
        <x:v>Group A</x:v>
      </x:c>
      <x:c r="E804" s="26" t="n">
        <x:v>5693.17</x:v>
      </x:c>
      <x:c r="F804" t="n">
        <x:v>0</x:v>
      </x:c>
      <x:c r="G804" s="25" t="n">
        <x:v>0.194096</x:v>
      </x:c>
      <x:c r="H804" t="n">
        <x:f>IF(G804&lt;$B$6,1,0)</x:f>
        <x:v>0</x:v>
      </x:c>
      <x:c r="I804" s="26" t="n">
        <x:f>H804*IF(F804=0,E804*$B$7,-E804*$B$8)</x:f>
        <x:v>0</x:v>
      </x:c>
    </x:row>
    <x:row r="805">
      <x:c r="A805" t="n">
        <x:v>9142</x:v>
      </x:c>
      <x:c r="B805" t="str">
        <x:v>2024-08</x:v>
      </x:c>
      <x:c r="C805" t="str">
        <x:v>Salaried</x:v>
      </x:c>
      <x:c r="D805" t="str">
        <x:v>Group A</x:v>
      </x:c>
      <x:c r="E805" s="26" t="n">
        <x:v>16455.85</x:v>
      </x:c>
      <x:c r="F805" t="n">
        <x:v>1</x:v>
      </x:c>
      <x:c r="G805" s="25" t="n">
        <x:v>0.274252</x:v>
      </x:c>
      <x:c r="H805" t="n">
        <x:f>IF(G805&lt;$B$6,1,0)</x:f>
        <x:v>0</x:v>
      </x:c>
      <x:c r="I805" s="26" t="n">
        <x:f>H805*IF(F805=0,E805*$B$7,-E805*$B$8)</x:f>
        <x:v>0</x:v>
      </x:c>
    </x:row>
    <x:row r="806">
      <x:c r="A806" t="n">
        <x:v>9152</x:v>
      </x:c>
      <x:c r="B806" t="str">
        <x:v>2024-08</x:v>
      </x:c>
      <x:c r="C806" t="str">
        <x:v>Self employed</x:v>
      </x:c>
      <x:c r="D806" t="str">
        <x:v>Group B</x:v>
      </x:c>
      <x:c r="E806" s="26" t="n">
        <x:v>22765.9</x:v>
      </x:c>
      <x:c r="F806" t="n">
        <x:v>1</x:v>
      </x:c>
      <x:c r="G806" s="25" t="n">
        <x:v>0.482283</x:v>
      </x:c>
      <x:c r="H806" t="n">
        <x:f>IF(G806&lt;$B$6,1,0)</x:f>
        <x:v>0</x:v>
      </x:c>
      <x:c r="I806" s="26" t="n">
        <x:f>H806*IF(F806=0,E806*$B$7,-E806*$B$8)</x:f>
        <x:v>0</x:v>
      </x:c>
    </x:row>
    <x:row r="807">
      <x:c r="A807" t="n">
        <x:v>9167</x:v>
      </x:c>
      <x:c r="B807" t="str">
        <x:v>2024-08</x:v>
      </x:c>
      <x:c r="C807" t="str">
        <x:v>Salaried</x:v>
      </x:c>
      <x:c r="D807" t="str">
        <x:v>Group A</x:v>
      </x:c>
      <x:c r="E807" s="26" t="n">
        <x:v>8383.13</x:v>
      </x:c>
      <x:c r="F807" t="n">
        <x:v>1</x:v>
      </x:c>
      <x:c r="G807" s="25" t="n">
        <x:v>0.230595</x:v>
      </x:c>
      <x:c r="H807" t="n">
        <x:f>IF(G807&lt;$B$6,1,0)</x:f>
        <x:v>0</x:v>
      </x:c>
      <x:c r="I807" s="26" t="n">
        <x:f>H807*IF(F807=0,E807*$B$7,-E807*$B$8)</x:f>
        <x:v>0</x:v>
      </x:c>
    </x:row>
    <x:row r="808">
      <x:c r="A808" t="n">
        <x:v>9229</x:v>
      </x:c>
      <x:c r="B808" t="str">
        <x:v>2024-08</x:v>
      </x:c>
      <x:c r="C808" t="str">
        <x:v>Salaried</x:v>
      </x:c>
      <x:c r="D808" t="str">
        <x:v>Group A</x:v>
      </x:c>
      <x:c r="E808" s="26" t="n">
        <x:v>10908.37</x:v>
      </x:c>
      <x:c r="F808" t="n">
        <x:v>0</x:v>
      </x:c>
      <x:c r="G808" s="25" t="n">
        <x:v>0.289811</x:v>
      </x:c>
      <x:c r="H808" t="n">
        <x:f>IF(G808&lt;$B$6,1,0)</x:f>
        <x:v>0</x:v>
      </x:c>
      <x:c r="I808" s="26" t="n">
        <x:f>H808*IF(F808=0,E808*$B$7,-E808*$B$8)</x:f>
        <x:v>0</x:v>
      </x:c>
    </x:row>
    <x:row r="809">
      <x:c r="A809" t="n">
        <x:v>9241</x:v>
      </x:c>
      <x:c r="B809" t="str">
        <x:v>2024-08</x:v>
      </x:c>
      <x:c r="C809" t="str">
        <x:v>Salaried</x:v>
      </x:c>
      <x:c r="D809" t="str">
        <x:v>Group B</x:v>
      </x:c>
      <x:c r="E809" s="26" t="n">
        <x:v>18689.37</x:v>
      </x:c>
      <x:c r="F809" t="n">
        <x:v>0</x:v>
      </x:c>
      <x:c r="G809" s="25" t="n">
        <x:v>0.044081</x:v>
      </x:c>
      <x:c r="H809" t="n">
        <x:f>IF(G809&lt;$B$6,1,0)</x:f>
        <x:v>1</x:v>
      </x:c>
      <x:c r="I809" s="26" t="n">
        <x:f>H809*IF(F809=0,E809*$B$7,-E809*$B$8)</x:f>
        <x:v>2242.7243999999996</x:v>
      </x:c>
    </x:row>
    <x:row r="810">
      <x:c r="A810" t="n">
        <x:v>9263</x:v>
      </x:c>
      <x:c r="B810" t="str">
        <x:v>2024-08</x:v>
      </x:c>
      <x:c r="C810" t="str">
        <x:v>Self employed</x:v>
      </x:c>
      <x:c r="D810" t="str">
        <x:v>Group A</x:v>
      </x:c>
      <x:c r="E810" s="26" t="n">
        <x:v>24102.49</x:v>
      </x:c>
      <x:c r="F810" t="n">
        <x:v>0</x:v>
      </x:c>
      <x:c r="G810" s="25" t="n">
        <x:v>0.146118</x:v>
      </x:c>
      <x:c r="H810" t="n">
        <x:f>IF(G810&lt;$B$6,1,0)</x:f>
        <x:v>1</x:v>
      </x:c>
      <x:c r="I810" s="26" t="n">
        <x:f>H810*IF(F810=0,E810*$B$7,-E810*$B$8)</x:f>
        <x:v>2892.2988</x:v>
      </x:c>
    </x:row>
    <x:row r="811">
      <x:c r="A811" t="n">
        <x:v>9288</x:v>
      </x:c>
      <x:c r="B811" t="str">
        <x:v>2024-08</x:v>
      </x:c>
      <x:c r="C811" t="str">
        <x:v>Salaried</x:v>
      </x:c>
      <x:c r="D811" t="str">
        <x:v>Group A</x:v>
      </x:c>
      <x:c r="E811" s="26" t="n">
        <x:v>22268.31</x:v>
      </x:c>
      <x:c r="F811" t="n">
        <x:v>0</x:v>
      </x:c>
      <x:c r="G811" s="25" t="n">
        <x:v>0.109541</x:v>
      </x:c>
      <x:c r="H811" t="n">
        <x:f>IF(G811&lt;$B$6,1,0)</x:f>
        <x:v>1</x:v>
      </x:c>
      <x:c r="I811" s="26" t="n">
        <x:f>H811*IF(F811=0,E811*$B$7,-E811*$B$8)</x:f>
        <x:v>2672.1972</x:v>
      </x:c>
    </x:row>
    <x:row r="812">
      <x:c r="A812" t="n">
        <x:v>9314</x:v>
      </x:c>
      <x:c r="B812" t="str">
        <x:v>2024-08</x:v>
      </x:c>
      <x:c r="C812" t="str">
        <x:v>Contract</x:v>
      </x:c>
      <x:c r="D812" t="str">
        <x:v>Group B</x:v>
      </x:c>
      <x:c r="E812" s="26" t="n">
        <x:v>2243.23</x:v>
      </x:c>
      <x:c r="F812" t="n">
        <x:v>1</x:v>
      </x:c>
      <x:c r="G812" s="25" t="n">
        <x:v>0.36892</x:v>
      </x:c>
      <x:c r="H812" t="n">
        <x:f>IF(G812&lt;$B$6,1,0)</x:f>
        <x:v>0</x:v>
      </x:c>
      <x:c r="I812" s="26" t="n">
        <x:f>H812*IF(F812=0,E812*$B$7,-E812*$B$8)</x:f>
        <x:v>0</x:v>
      </x:c>
    </x:row>
    <x:row r="813">
      <x:c r="A813" t="n">
        <x:v>9353</x:v>
      </x:c>
      <x:c r="B813" t="str">
        <x:v>2024-08</x:v>
      </x:c>
      <x:c r="C813" t="str">
        <x:v>Salaried</x:v>
      </x:c>
      <x:c r="D813" t="str">
        <x:v>Group A</x:v>
      </x:c>
      <x:c r="E813" s="26" t="n">
        <x:v>18162.91</x:v>
      </x:c>
      <x:c r="F813" t="n">
        <x:v>0</x:v>
      </x:c>
      <x:c r="G813" s="25" t="n">
        <x:v>0.054978</x:v>
      </x:c>
      <x:c r="H813" t="n">
        <x:f>IF(G813&lt;$B$6,1,0)</x:f>
        <x:v>1</x:v>
      </x:c>
      <x:c r="I813" s="26" t="n">
        <x:f>H813*IF(F813=0,E813*$B$7,-E813*$B$8)</x:f>
        <x:v>2179.5492</x:v>
      </x:c>
    </x:row>
    <x:row r="814">
      <x:c r="A814" t="n">
        <x:v>9417</x:v>
      </x:c>
      <x:c r="B814" t="str">
        <x:v>2024-08</x:v>
      </x:c>
      <x:c r="C814" t="str">
        <x:v>Salaried</x:v>
      </x:c>
      <x:c r="D814" t="str">
        <x:v>Group A</x:v>
      </x:c>
      <x:c r="E814" s="26" t="n">
        <x:v>34033.15</x:v>
      </x:c>
      <x:c r="F814" t="n">
        <x:v>1</x:v>
      </x:c>
      <x:c r="G814" s="25" t="n">
        <x:v>0.214822</x:v>
      </x:c>
      <x:c r="H814" t="n">
        <x:f>IF(G814&lt;$B$6,1,0)</x:f>
        <x:v>0</x:v>
      </x:c>
      <x:c r="I814" s="26" t="n">
        <x:f>H814*IF(F814=0,E814*$B$7,-E814*$B$8)</x:f>
        <x:v>0</x:v>
      </x:c>
    </x:row>
    <x:row r="815">
      <x:c r="A815" t="n">
        <x:v>9468</x:v>
      </x:c>
      <x:c r="B815" t="str">
        <x:v>2024-08</x:v>
      </x:c>
      <x:c r="C815" t="str">
        <x:v>Salaried</x:v>
      </x:c>
      <x:c r="D815" t="str">
        <x:v>Group A</x:v>
      </x:c>
      <x:c r="E815" s="26" t="n">
        <x:v>20248.57</x:v>
      </x:c>
      <x:c r="F815" t="n">
        <x:v>1</x:v>
      </x:c>
      <x:c r="G815" s="25" t="n">
        <x:v>0.096926</x:v>
      </x:c>
      <x:c r="H815" t="n">
        <x:f>IF(G815&lt;$B$6,1,0)</x:f>
        <x:v>1</x:v>
      </x:c>
      <x:c r="I815" s="26" t="n">
        <x:f>H815*IF(F815=0,E815*$B$7,-E815*$B$8)</x:f>
        <x:v>-13161.5705</x:v>
      </x:c>
    </x:row>
    <x:row r="816">
      <x:c r="A816" t="n">
        <x:v>9478</x:v>
      </x:c>
      <x:c r="B816" t="str">
        <x:v>2024-08</x:v>
      </x:c>
      <x:c r="C816" t="str">
        <x:v>Salaried</x:v>
      </x:c>
      <x:c r="D816" t="str">
        <x:v>Group A</x:v>
      </x:c>
      <x:c r="E816" s="26" t="n">
        <x:v>12348.77</x:v>
      </x:c>
      <x:c r="F816" t="n">
        <x:v>0</x:v>
      </x:c>
      <x:c r="G816" s="25" t="n">
        <x:v>0.150152</x:v>
      </x:c>
      <x:c r="H816" t="n">
        <x:f>IF(G816&lt;$B$6,1,0)</x:f>
        <x:v>1</x:v>
      </x:c>
      <x:c r="I816" s="26" t="n">
        <x:f>H816*IF(F816=0,E816*$B$7,-E816*$B$8)</x:f>
        <x:v>1481.8524</x:v>
      </x:c>
    </x:row>
    <x:row r="817">
      <x:c r="A817" t="n">
        <x:v>9564</x:v>
      </x:c>
      <x:c r="B817" t="str">
        <x:v>2024-08</x:v>
      </x:c>
      <x:c r="C817" t="str">
        <x:v>Salaried</x:v>
      </x:c>
      <x:c r="D817" t="str">
        <x:v>Group A</x:v>
      </x:c>
      <x:c r="E817" s="26" t="n">
        <x:v>15228.02</x:v>
      </x:c>
      <x:c r="F817" t="n">
        <x:v>1</x:v>
      </x:c>
      <x:c r="G817" s="25" t="n">
        <x:v>0.095767</x:v>
      </x:c>
      <x:c r="H817" t="n">
        <x:f>IF(G817&lt;$B$6,1,0)</x:f>
        <x:v>1</x:v>
      </x:c>
      <x:c r="I817" s="26" t="n">
        <x:f>H817*IF(F817=0,E817*$B$7,-E817*$B$8)</x:f>
        <x:v>-9898.213</x:v>
      </x:c>
    </x:row>
    <x:row r="818">
      <x:c r="A818" t="n">
        <x:v>9581</x:v>
      </x:c>
      <x:c r="B818" t="str">
        <x:v>2024-08</x:v>
      </x:c>
      <x:c r="C818" t="str">
        <x:v>Self employed</x:v>
      </x:c>
      <x:c r="D818" t="str">
        <x:v>Group A</x:v>
      </x:c>
      <x:c r="E818" s="26" t="n">
        <x:v>27083.88</x:v>
      </x:c>
      <x:c r="F818" t="n">
        <x:v>0</x:v>
      </x:c>
      <x:c r="G818" s="25" t="n">
        <x:v>0.418163</x:v>
      </x:c>
      <x:c r="H818" t="n">
        <x:f>IF(G818&lt;$B$6,1,0)</x:f>
        <x:v>0</x:v>
      </x:c>
      <x:c r="I818" s="26" t="n">
        <x:f>H818*IF(F818=0,E818*$B$7,-E818*$B$8)</x:f>
        <x:v>0</x:v>
      </x:c>
    </x:row>
    <x:row r="819">
      <x:c r="A819" t="n">
        <x:v>9591</x:v>
      </x:c>
      <x:c r="B819" t="str">
        <x:v>2024-08</x:v>
      </x:c>
      <x:c r="C819" t="str">
        <x:v>Self employed</x:v>
      </x:c>
      <x:c r="D819" t="str">
        <x:v>Group A</x:v>
      </x:c>
      <x:c r="E819" s="26" t="n">
        <x:v>1910.35</x:v>
      </x:c>
      <x:c r="F819" t="n">
        <x:v>0</x:v>
      </x:c>
      <x:c r="G819" s="25" t="n">
        <x:v>0.14208</x:v>
      </x:c>
      <x:c r="H819" t="n">
        <x:f>IF(G819&lt;$B$6,1,0)</x:f>
        <x:v>1</x:v>
      </x:c>
      <x:c r="I819" s="26" t="n">
        <x:f>H819*IF(F819=0,E819*$B$7,-E819*$B$8)</x:f>
        <x:v>229.242</x:v>
      </x:c>
    </x:row>
    <x:row r="820">
      <x:c r="A820" t="n">
        <x:v>9617</x:v>
      </x:c>
      <x:c r="B820" t="str">
        <x:v>2024-08</x:v>
      </x:c>
      <x:c r="C820" t="str">
        <x:v>Salaried</x:v>
      </x:c>
      <x:c r="D820" t="str">
        <x:v>Group B</x:v>
      </x:c>
      <x:c r="E820" s="26" t="n">
        <x:v>7737.28</x:v>
      </x:c>
      <x:c r="F820" t="n">
        <x:v>0</x:v>
      </x:c>
      <x:c r="G820" s="25" t="n">
        <x:v>0.0686</x:v>
      </x:c>
      <x:c r="H820" t="n">
        <x:f>IF(G820&lt;$B$6,1,0)</x:f>
        <x:v>1</x:v>
      </x:c>
      <x:c r="I820" s="26" t="n">
        <x:f>H820*IF(F820=0,E820*$B$7,-E820*$B$8)</x:f>
        <x:v>928.4735999999999</x:v>
      </x:c>
    </x:row>
    <x:row r="821">
      <x:c r="A821" t="n">
        <x:v>9636</x:v>
      </x:c>
      <x:c r="B821" t="str">
        <x:v>2024-08</x:v>
      </x:c>
      <x:c r="C821" t="str">
        <x:v>Self employed</x:v>
      </x:c>
      <x:c r="D821" t="str">
        <x:v>Group A</x:v>
      </x:c>
      <x:c r="E821" s="26" t="n">
        <x:v>21821.31</x:v>
      </x:c>
      <x:c r="F821" t="n">
        <x:v>0</x:v>
      </x:c>
      <x:c r="G821" s="25" t="n">
        <x:v>0.355418</x:v>
      </x:c>
      <x:c r="H821" t="n">
        <x:f>IF(G821&lt;$B$6,1,0)</x:f>
        <x:v>0</x:v>
      </x:c>
      <x:c r="I821" s="26" t="n">
        <x:f>H821*IF(F821=0,E821*$B$7,-E821*$B$8)</x:f>
        <x:v>0</x:v>
      </x:c>
    </x:row>
    <x:row r="822">
      <x:c r="A822" t="n">
        <x:v>9638</x:v>
      </x:c>
      <x:c r="B822" t="str">
        <x:v>2024-08</x:v>
      </x:c>
      <x:c r="C822" t="str">
        <x:v>Salaried</x:v>
      </x:c>
      <x:c r="D822" t="str">
        <x:v>Group A</x:v>
      </x:c>
      <x:c r="E822" s="26" t="n">
        <x:v>57834.08</x:v>
      </x:c>
      <x:c r="F822" t="n">
        <x:v>1</x:v>
      </x:c>
      <x:c r="G822" s="25" t="n">
        <x:v>0.640947</x:v>
      </x:c>
      <x:c r="H822" t="n">
        <x:f>IF(G822&lt;$B$6,1,0)</x:f>
        <x:v>0</x:v>
      </x:c>
      <x:c r="I822" s="26" t="n">
        <x:f>H822*IF(F822=0,E822*$B$7,-E822*$B$8)</x:f>
        <x:v>0</x:v>
      </x:c>
    </x:row>
    <x:row r="823">
      <x:c r="A823" t="n">
        <x:v>9649</x:v>
      </x:c>
      <x:c r="B823" t="str">
        <x:v>2024-08</x:v>
      </x:c>
      <x:c r="C823" t="str">
        <x:v>Salaried</x:v>
      </x:c>
      <x:c r="D823" t="str">
        <x:v>Group B</x:v>
      </x:c>
      <x:c r="E823" s="26" t="n">
        <x:v>7566.79</x:v>
      </x:c>
      <x:c r="F823" t="n">
        <x:v>0</x:v>
      </x:c>
      <x:c r="G823" s="25" t="n">
        <x:v>0.059922</x:v>
      </x:c>
      <x:c r="H823" t="n">
        <x:f>IF(G823&lt;$B$6,1,0)</x:f>
        <x:v>1</x:v>
      </x:c>
      <x:c r="I823" s="26" t="n">
        <x:f>H823*IF(F823=0,E823*$B$7,-E823*$B$8)</x:f>
        <x:v>908.0147999999999</x:v>
      </x:c>
    </x:row>
    <x:row r="824">
      <x:c r="A824" t="n">
        <x:v>9678</x:v>
      </x:c>
      <x:c r="B824" t="str">
        <x:v>2024-08</x:v>
      </x:c>
      <x:c r="C824" t="str">
        <x:v>Salaried</x:v>
      </x:c>
      <x:c r="D824" t="str">
        <x:v>Group A</x:v>
      </x:c>
      <x:c r="E824" s="26" t="n">
        <x:v>25451.73</x:v>
      </x:c>
      <x:c r="F824" t="n">
        <x:v>0</x:v>
      </x:c>
      <x:c r="G824" s="25" t="n">
        <x:v>0.235106</x:v>
      </x:c>
      <x:c r="H824" t="n">
        <x:f>IF(G824&lt;$B$6,1,0)</x:f>
        <x:v>0</x:v>
      </x:c>
      <x:c r="I824" s="26" t="n">
        <x:f>H824*IF(F824=0,E824*$B$7,-E824*$B$8)</x:f>
        <x:v>0</x:v>
      </x:c>
    </x:row>
    <x:row r="825">
      <x:c r="A825" t="n">
        <x:v>9693</x:v>
      </x:c>
      <x:c r="B825" t="str">
        <x:v>2024-08</x:v>
      </x:c>
      <x:c r="C825" t="str">
        <x:v>Salaried</x:v>
      </x:c>
      <x:c r="D825" t="str">
        <x:v>Group A</x:v>
      </x:c>
      <x:c r="E825" s="26" t="n">
        <x:v>14149.06</x:v>
      </x:c>
      <x:c r="F825" t="n">
        <x:v>1</x:v>
      </x:c>
      <x:c r="G825" s="25" t="n">
        <x:v>0.292718</x:v>
      </x:c>
      <x:c r="H825" t="n">
        <x:f>IF(G825&lt;$B$6,1,0)</x:f>
        <x:v>0</x:v>
      </x:c>
      <x:c r="I825" s="26" t="n">
        <x:f>H825*IF(F825=0,E825*$B$7,-E825*$B$8)</x:f>
        <x:v>0</x:v>
      </x:c>
    </x:row>
    <x:row r="826">
      <x:c r="A826" t="n">
        <x:v>9769</x:v>
      </x:c>
      <x:c r="B826" t="str">
        <x:v>2024-08</x:v>
      </x:c>
      <x:c r="C826" t="str">
        <x:v>Contract</x:v>
      </x:c>
      <x:c r="D826" t="str">
        <x:v>Group A</x:v>
      </x:c>
      <x:c r="E826" s="26" t="n">
        <x:v>17575.13</x:v>
      </x:c>
      <x:c r="F826" t="n">
        <x:v>0</x:v>
      </x:c>
      <x:c r="G826" s="25" t="n">
        <x:v>0.128074</x:v>
      </x:c>
      <x:c r="H826" t="n">
        <x:f>IF(G826&lt;$B$6,1,0)</x:f>
        <x:v>1</x:v>
      </x:c>
      <x:c r="I826" s="26" t="n">
        <x:f>H826*IF(F826=0,E826*$B$7,-E826*$B$8)</x:f>
        <x:v>2109.0156</x:v>
      </x:c>
    </x:row>
    <x:row r="827">
      <x:c r="A827" t="n">
        <x:v>9815</x:v>
      </x:c>
      <x:c r="B827" t="str">
        <x:v>2024-08</x:v>
      </x:c>
      <x:c r="C827" t="str">
        <x:v>Salaried</x:v>
      </x:c>
      <x:c r="D827" t="str">
        <x:v>Group A</x:v>
      </x:c>
      <x:c r="E827" s="26" t="n">
        <x:v>9862.53</x:v>
      </x:c>
      <x:c r="F827" t="n">
        <x:v>0</x:v>
      </x:c>
      <x:c r="G827" s="25" t="n">
        <x:v>0.122272</x:v>
      </x:c>
      <x:c r="H827" t="n">
        <x:f>IF(G827&lt;$B$6,1,0)</x:f>
        <x:v>1</x:v>
      </x:c>
      <x:c r="I827" s="26" t="n">
        <x:f>H827*IF(F827=0,E827*$B$7,-E827*$B$8)</x:f>
        <x:v>1183.5036</x:v>
      </x:c>
    </x:row>
    <x:row r="828">
      <x:c r="A828" t="n">
        <x:v>9833</x:v>
      </x:c>
      <x:c r="B828" t="str">
        <x:v>2024-08</x:v>
      </x:c>
      <x:c r="C828" t="str">
        <x:v>Salaried</x:v>
      </x:c>
      <x:c r="D828" t="str">
        <x:v>Group A</x:v>
      </x:c>
      <x:c r="E828" s="26" t="n">
        <x:v>10094.49</x:v>
      </x:c>
      <x:c r="F828" t="n">
        <x:v>0</x:v>
      </x:c>
      <x:c r="G828" s="25" t="n">
        <x:v>0.21348</x:v>
      </x:c>
      <x:c r="H828" t="n">
        <x:f>IF(G828&lt;$B$6,1,0)</x:f>
        <x:v>0</x:v>
      </x:c>
      <x:c r="I828" s="26" t="n">
        <x:f>H828*IF(F828=0,E828*$B$7,-E828*$B$8)</x:f>
        <x:v>0</x:v>
      </x:c>
    </x:row>
    <x:row r="829">
      <x:c r="A829" t="n">
        <x:v>9857</x:v>
      </x:c>
      <x:c r="B829" t="str">
        <x:v>2024-08</x:v>
      </x:c>
      <x:c r="C829" t="str">
        <x:v>Self employed</x:v>
      </x:c>
      <x:c r="D829" t="str">
        <x:v>Group B</x:v>
      </x:c>
      <x:c r="E829" s="26" t="n">
        <x:v>34970.27</x:v>
      </x:c>
      <x:c r="F829" t="n">
        <x:v>0</x:v>
      </x:c>
      <x:c r="G829" s="25" t="n">
        <x:v>0.135314</x:v>
      </x:c>
      <x:c r="H829" t="n">
        <x:f>IF(G829&lt;$B$6,1,0)</x:f>
        <x:v>1</x:v>
      </x:c>
      <x:c r="I829" s="26" t="n">
        <x:f>H829*IF(F829=0,E829*$B$7,-E829*$B$8)</x:f>
        <x:v>4196.4324</x:v>
      </x:c>
    </x:row>
    <x:row r="830">
      <x:c r="A830" t="n">
        <x:v>9862</x:v>
      </x:c>
      <x:c r="B830" t="str">
        <x:v>2024-08</x:v>
      </x:c>
      <x:c r="C830" t="str">
        <x:v>Salaried</x:v>
      </x:c>
      <x:c r="D830" t="str">
        <x:v>Group A</x:v>
      </x:c>
      <x:c r="E830" s="26" t="n">
        <x:v>27190.19</x:v>
      </x:c>
      <x:c r="F830" t="n">
        <x:v>0</x:v>
      </x:c>
      <x:c r="G830" s="25" t="n">
        <x:v>0.296414</x:v>
      </x:c>
      <x:c r="H830" t="n">
        <x:f>IF(G830&lt;$B$6,1,0)</x:f>
        <x:v>0</x:v>
      </x:c>
      <x:c r="I830" s="26" t="n">
        <x:f>H830*IF(F830=0,E830*$B$7,-E830*$B$8)</x:f>
        <x:v>0</x:v>
      </x:c>
    </x:row>
    <x:row r="831">
      <x:c r="A831" t="n">
        <x:v>9885</x:v>
      </x:c>
      <x:c r="B831" t="str">
        <x:v>2024-08</x:v>
      </x:c>
      <x:c r="C831" t="str">
        <x:v>Salaried</x:v>
      </x:c>
      <x:c r="D831" t="str">
        <x:v>Group A</x:v>
      </x:c>
      <x:c r="E831" s="26" t="n">
        <x:v>18193.5</x:v>
      </x:c>
      <x:c r="F831" t="n">
        <x:v>0</x:v>
      </x:c>
      <x:c r="G831" s="25" t="n">
        <x:v>0.194605</x:v>
      </x:c>
      <x:c r="H831" t="n">
        <x:f>IF(G831&lt;$B$6,1,0)</x:f>
        <x:v>0</x:v>
      </x:c>
      <x:c r="I831" s="26" t="n">
        <x:f>H831*IF(F831=0,E831*$B$7,-E831*$B$8)</x:f>
        <x:v>0</x:v>
      </x:c>
    </x:row>
    <x:row r="832">
      <x:c r="A832" t="n">
        <x:v>9895</x:v>
      </x:c>
      <x:c r="B832" t="str">
        <x:v>2024-08</x:v>
      </x:c>
      <x:c r="C832" t="str">
        <x:v>Salaried</x:v>
      </x:c>
      <x:c r="D832" t="str">
        <x:v>Group B</x:v>
      </x:c>
      <x:c r="E832" s="26" t="n">
        <x:v>31708.01</x:v>
      </x:c>
      <x:c r="F832" t="n">
        <x:v>1</x:v>
      </x:c>
      <x:c r="G832" s="25" t="n">
        <x:v>0.132139</x:v>
      </x:c>
      <x:c r="H832" t="n">
        <x:f>IF(G832&lt;$B$6,1,0)</x:f>
        <x:v>1</x:v>
      </x:c>
      <x:c r="I832" s="26" t="n">
        <x:f>H832*IF(F832=0,E832*$B$7,-E832*$B$8)</x:f>
        <x:v>-20610.2065</x:v>
      </x:c>
    </x:row>
    <x:row r="833">
      <x:c r="A833" t="n">
        <x:v>9998</x:v>
      </x:c>
      <x:c r="B833" t="str">
        <x:v>2024-08</x:v>
      </x:c>
      <x:c r="C833" t="str">
        <x:v>Salaried</x:v>
      </x:c>
      <x:c r="D833" t="str">
        <x:v>Group B</x:v>
      </x:c>
      <x:c r="E833" s="26" t="n">
        <x:v>11802.86</x:v>
      </x:c>
      <x:c r="F833" t="n">
        <x:v>0</x:v>
      </x:c>
      <x:c r="G833" s="25" t="n">
        <x:v>0.219493</x:v>
      </x:c>
      <x:c r="H833" t="n">
        <x:f>IF(G833&lt;$B$6,1,0)</x:f>
        <x:v>0</x:v>
      </x:c>
      <x:c r="I833" s="26" t="n">
        <x:f>H833*IF(F833=0,E833*$B$7,-E833*$B$8)</x:f>
        <x:v>0</x:v>
      </x:c>
    </x:row>
    <x:row r="834">
      <x:c r="A834" t="n">
        <x:v>14</x:v>
      </x:c>
      <x:c r="B834" t="str">
        <x:v>2024-09</x:v>
      </x:c>
      <x:c r="C834" t="str">
        <x:v>Salaried</x:v>
      </x:c>
      <x:c r="D834" t="str">
        <x:v>Group B</x:v>
      </x:c>
      <x:c r="E834" s="26" t="n">
        <x:v>5283.98</x:v>
      </x:c>
      <x:c r="F834" t="n">
        <x:v>1</x:v>
      </x:c>
      <x:c r="G834" s="25" t="n">
        <x:v>0.378811</x:v>
      </x:c>
      <x:c r="H834" t="n">
        <x:f>IF(G834&lt;$B$6,1,0)</x:f>
        <x:v>0</x:v>
      </x:c>
      <x:c r="I834" s="26" t="n">
        <x:f>H834*IF(F834=0,E834*$B$7,-E834*$B$8)</x:f>
        <x:v>0</x:v>
      </x:c>
    </x:row>
    <x:row r="835">
      <x:c r="A835" t="n">
        <x:v>17</x:v>
      </x:c>
      <x:c r="B835" t="str">
        <x:v>2024-09</x:v>
      </x:c>
      <x:c r="C835" t="str">
        <x:v>Self employed</x:v>
      </x:c>
      <x:c r="D835" t="str">
        <x:v>Group B</x:v>
      </x:c>
      <x:c r="E835" s="26" t="n">
        <x:v>39420.18</x:v>
      </x:c>
      <x:c r="F835" t="n">
        <x:v>0</x:v>
      </x:c>
      <x:c r="G835" s="25" t="n">
        <x:v>0.370795</x:v>
      </x:c>
      <x:c r="H835" t="n">
        <x:f>IF(G835&lt;$B$6,1,0)</x:f>
        <x:v>0</x:v>
      </x:c>
      <x:c r="I835" s="26" t="n">
        <x:f>H835*IF(F835=0,E835*$B$7,-E835*$B$8)</x:f>
        <x:v>0</x:v>
      </x:c>
    </x:row>
    <x:row r="836">
      <x:c r="A836" t="n">
        <x:v>18</x:v>
      </x:c>
      <x:c r="B836" t="str">
        <x:v>2024-09</x:v>
      </x:c>
      <x:c r="C836" t="str">
        <x:v>Salaried</x:v>
      </x:c>
      <x:c r="D836" t="str">
        <x:v>Group B</x:v>
      </x:c>
      <x:c r="E836" s="26" t="n">
        <x:v>14980.94</x:v>
      </x:c>
      <x:c r="F836" t="n">
        <x:v>0</x:v>
      </x:c>
      <x:c r="G836" s="25" t="n">
        <x:v>0.604629</x:v>
      </x:c>
      <x:c r="H836" t="n">
        <x:f>IF(G836&lt;$B$6,1,0)</x:f>
        <x:v>0</x:v>
      </x:c>
      <x:c r="I836" s="26" t="n">
        <x:f>H836*IF(F836=0,E836*$B$7,-E836*$B$8)</x:f>
        <x:v>0</x:v>
      </x:c>
    </x:row>
    <x:row r="837">
      <x:c r="A837" t="n">
        <x:v>58</x:v>
      </x:c>
      <x:c r="B837" t="str">
        <x:v>2024-09</x:v>
      </x:c>
      <x:c r="C837" t="str">
        <x:v>Salaried</x:v>
      </x:c>
      <x:c r="D837" t="str">
        <x:v>Group B</x:v>
      </x:c>
      <x:c r="E837" s="26" t="n">
        <x:v>19969.55</x:v>
      </x:c>
      <x:c r="F837" t="n">
        <x:v>0</x:v>
      </x:c>
      <x:c r="G837" s="25" t="n">
        <x:v>0.126628</x:v>
      </x:c>
      <x:c r="H837" t="n">
        <x:f>IF(G837&lt;$B$6,1,0)</x:f>
        <x:v>1</x:v>
      </x:c>
      <x:c r="I837" s="26" t="n">
        <x:f>H837*IF(F837=0,E837*$B$7,-E837*$B$8)</x:f>
        <x:v>2396.346</x:v>
      </x:c>
    </x:row>
    <x:row r="838">
      <x:c r="A838" t="n">
        <x:v>93</x:v>
      </x:c>
      <x:c r="B838" t="str">
        <x:v>2024-09</x:v>
      </x:c>
      <x:c r="C838" t="str">
        <x:v>Self employed</x:v>
      </x:c>
      <x:c r="D838" t="str">
        <x:v>Group A</x:v>
      </x:c>
      <x:c r="E838" s="26" t="n">
        <x:v>21516.82</x:v>
      </x:c>
      <x:c r="F838" t="n">
        <x:v>0</x:v>
      </x:c>
      <x:c r="G838" s="25" t="n">
        <x:v>0.245934</x:v>
      </x:c>
      <x:c r="H838" t="n">
        <x:f>IF(G838&lt;$B$6,1,0)</x:f>
        <x:v>0</x:v>
      </x:c>
      <x:c r="I838" s="26" t="n">
        <x:f>H838*IF(F838=0,E838*$B$7,-E838*$B$8)</x:f>
        <x:v>0</x:v>
      </x:c>
    </x:row>
    <x:row r="839">
      <x:c r="A839" t="n">
        <x:v>144</x:v>
      </x:c>
      <x:c r="B839" t="str">
        <x:v>2024-09</x:v>
      </x:c>
      <x:c r="C839" t="str">
        <x:v>Salaried</x:v>
      </x:c>
      <x:c r="D839" t="str">
        <x:v>Group A</x:v>
      </x:c>
      <x:c r="E839" s="26" t="n">
        <x:v>24072.56</x:v>
      </x:c>
      <x:c r="F839" t="n">
        <x:v>0</x:v>
      </x:c>
      <x:c r="G839" s="25" t="n">
        <x:v>0.105759</x:v>
      </x:c>
      <x:c r="H839" t="n">
        <x:f>IF(G839&lt;$B$6,1,0)</x:f>
        <x:v>1</x:v>
      </x:c>
      <x:c r="I839" s="26" t="n">
        <x:f>H839*IF(F839=0,E839*$B$7,-E839*$B$8)</x:f>
        <x:v>2888.7072</x:v>
      </x:c>
    </x:row>
    <x:row r="840">
      <x:c r="A840" t="n">
        <x:v>148</x:v>
      </x:c>
      <x:c r="B840" t="str">
        <x:v>2024-09</x:v>
      </x:c>
      <x:c r="C840" t="str">
        <x:v>Salaried</x:v>
      </x:c>
      <x:c r="D840" t="str">
        <x:v>Group A</x:v>
      </x:c>
      <x:c r="E840" s="26" t="n">
        <x:v>21026.1</x:v>
      </x:c>
      <x:c r="F840" t="n">
        <x:v>0</x:v>
      </x:c>
      <x:c r="G840" s="25" t="n">
        <x:v>0.374253</x:v>
      </x:c>
      <x:c r="H840" t="n">
        <x:f>IF(G840&lt;$B$6,1,0)</x:f>
        <x:v>0</x:v>
      </x:c>
      <x:c r="I840" s="26" t="n">
        <x:f>H840*IF(F840=0,E840*$B$7,-E840*$B$8)</x:f>
        <x:v>0</x:v>
      </x:c>
    </x:row>
    <x:row r="841">
      <x:c r="A841" t="n">
        <x:v>166</x:v>
      </x:c>
      <x:c r="B841" t="str">
        <x:v>2024-09</x:v>
      </x:c>
      <x:c r="C841" t="str">
        <x:v>Salaried</x:v>
      </x:c>
      <x:c r="D841" t="str">
        <x:v>Group A</x:v>
      </x:c>
      <x:c r="E841" s="26" t="n">
        <x:v>27999.39</x:v>
      </x:c>
      <x:c r="F841" t="n">
        <x:v>0</x:v>
      </x:c>
      <x:c r="G841" s="25" t="n">
        <x:v>0.298879</x:v>
      </x:c>
      <x:c r="H841" t="n">
        <x:f>IF(G841&lt;$B$6,1,0)</x:f>
        <x:v>0</x:v>
      </x:c>
      <x:c r="I841" s="26" t="n">
        <x:f>H841*IF(F841=0,E841*$B$7,-E841*$B$8)</x:f>
        <x:v>0</x:v>
      </x:c>
    </x:row>
    <x:row r="842">
      <x:c r="A842" t="n">
        <x:v>175</x:v>
      </x:c>
      <x:c r="B842" t="str">
        <x:v>2024-09</x:v>
      </x:c>
      <x:c r="C842" t="str">
        <x:v>Salaried</x:v>
      </x:c>
      <x:c r="D842" t="str">
        <x:v>Group B</x:v>
      </x:c>
      <x:c r="E842" s="26" t="n">
        <x:v>6140.9</x:v>
      </x:c>
      <x:c r="F842" t="n">
        <x:v>0</x:v>
      </x:c>
      <x:c r="G842" s="25" t="n">
        <x:v>0.136271</x:v>
      </x:c>
      <x:c r="H842" t="n">
        <x:f>IF(G842&lt;$B$6,1,0)</x:f>
        <x:v>1</x:v>
      </x:c>
      <x:c r="I842" s="26" t="n">
        <x:f>H842*IF(F842=0,E842*$B$7,-E842*$B$8)</x:f>
        <x:v>736.9079999999999</x:v>
      </x:c>
    </x:row>
    <x:row r="843">
      <x:c r="A843" t="n">
        <x:v>176</x:v>
      </x:c>
      <x:c r="B843" t="str">
        <x:v>2024-09</x:v>
      </x:c>
      <x:c r="C843" t="str">
        <x:v>Self employed</x:v>
      </x:c>
      <x:c r="D843" t="str">
        <x:v>Group A</x:v>
      </x:c>
      <x:c r="E843" s="26" t="n">
        <x:v>10335.27</x:v>
      </x:c>
      <x:c r="F843" t="n">
        <x:v>1</x:v>
      </x:c>
      <x:c r="G843" s="25" t="n">
        <x:v>0.31337</x:v>
      </x:c>
      <x:c r="H843" t="n">
        <x:f>IF(G843&lt;$B$6,1,0)</x:f>
        <x:v>0</x:v>
      </x:c>
      <x:c r="I843" s="26" t="n">
        <x:f>H843*IF(F843=0,E843*$B$7,-E843*$B$8)</x:f>
        <x:v>0</x:v>
      </x:c>
    </x:row>
    <x:row r="844">
      <x:c r="A844" t="n">
        <x:v>212</x:v>
      </x:c>
      <x:c r="B844" t="str">
        <x:v>2024-09</x:v>
      </x:c>
      <x:c r="C844" t="str">
        <x:v>Self employed</x:v>
      </x:c>
      <x:c r="D844" t="str">
        <x:v>Group A</x:v>
      </x:c>
      <x:c r="E844" s="26" t="n">
        <x:v>23575.8</x:v>
      </x:c>
      <x:c r="F844" t="n">
        <x:v>0</x:v>
      </x:c>
      <x:c r="G844" s="25" t="n">
        <x:v>0.170244</x:v>
      </x:c>
      <x:c r="H844" t="n">
        <x:f>IF(G844&lt;$B$6,1,0)</x:f>
        <x:v>0</x:v>
      </x:c>
      <x:c r="I844" s="26" t="n">
        <x:f>H844*IF(F844=0,E844*$B$7,-E844*$B$8)</x:f>
        <x:v>0</x:v>
      </x:c>
    </x:row>
    <x:row r="845">
      <x:c r="A845" t="n">
        <x:v>222</x:v>
      </x:c>
      <x:c r="B845" t="str">
        <x:v>2024-09</x:v>
      </x:c>
      <x:c r="C845" t="str">
        <x:v>Self employed</x:v>
      </x:c>
      <x:c r="D845" t="str">
        <x:v>Group A</x:v>
      </x:c>
      <x:c r="E845" s="26" t="n">
        <x:v>34097.47</x:v>
      </x:c>
      <x:c r="F845" t="n">
        <x:v>1</x:v>
      </x:c>
      <x:c r="G845" s="25" t="n">
        <x:v>0.572175</x:v>
      </x:c>
      <x:c r="H845" t="n">
        <x:f>IF(G845&lt;$B$6,1,0)</x:f>
        <x:v>0</x:v>
      </x:c>
      <x:c r="I845" s="26" t="n">
        <x:f>H845*IF(F845=0,E845*$B$7,-E845*$B$8)</x:f>
        <x:v>0</x:v>
      </x:c>
    </x:row>
    <x:row r="846">
      <x:c r="A846" t="n">
        <x:v>233</x:v>
      </x:c>
      <x:c r="B846" t="str">
        <x:v>2024-09</x:v>
      </x:c>
      <x:c r="C846" t="str">
        <x:v>Contract</x:v>
      </x:c>
      <x:c r="D846" t="str">
        <x:v>Group B</x:v>
      </x:c>
      <x:c r="E846" s="26" t="n">
        <x:v>8022.65</x:v>
      </x:c>
      <x:c r="F846" t="n">
        <x:v>0</x:v>
      </x:c>
      <x:c r="G846" s="25" t="n">
        <x:v>0.300318</x:v>
      </x:c>
      <x:c r="H846" t="n">
        <x:f>IF(G846&lt;$B$6,1,0)</x:f>
        <x:v>0</x:v>
      </x:c>
      <x:c r="I846" s="26" t="n">
        <x:f>H846*IF(F846=0,E846*$B$7,-E846*$B$8)</x:f>
        <x:v>0</x:v>
      </x:c>
    </x:row>
    <x:row r="847">
      <x:c r="A847" t="n">
        <x:v>249</x:v>
      </x:c>
      <x:c r="B847" t="str">
        <x:v>2024-09</x:v>
      </x:c>
      <x:c r="C847" t="str">
        <x:v>Salaried</x:v>
      </x:c>
      <x:c r="D847" t="str">
        <x:v>Group A</x:v>
      </x:c>
      <x:c r="E847" s="26" t="n">
        <x:v>4523.05</x:v>
      </x:c>
      <x:c r="F847" t="n">
        <x:v>0</x:v>
      </x:c>
      <x:c r="G847" s="25" t="n">
        <x:v>0.130089</x:v>
      </x:c>
      <x:c r="H847" t="n">
        <x:f>IF(G847&lt;$B$6,1,0)</x:f>
        <x:v>1</x:v>
      </x:c>
      <x:c r="I847" s="26" t="n">
        <x:f>H847*IF(F847=0,E847*$B$7,-E847*$B$8)</x:f>
        <x:v>542.766</x:v>
      </x:c>
    </x:row>
    <x:row r="848">
      <x:c r="A848" t="n">
        <x:v>269</x:v>
      </x:c>
      <x:c r="B848" t="str">
        <x:v>2024-09</x:v>
      </x:c>
      <x:c r="C848" t="str">
        <x:v>Salaried</x:v>
      </x:c>
      <x:c r="D848" t="str">
        <x:v>Group A</x:v>
      </x:c>
      <x:c r="E848" s="26" t="n">
        <x:v>2730.17</x:v>
      </x:c>
      <x:c r="F848" t="n">
        <x:v>0</x:v>
      </x:c>
      <x:c r="G848" s="25" t="n">
        <x:v>0.173437</x:v>
      </x:c>
      <x:c r="H848" t="n">
        <x:f>IF(G848&lt;$B$6,1,0)</x:f>
        <x:v>0</x:v>
      </x:c>
      <x:c r="I848" s="26" t="n">
        <x:f>H848*IF(F848=0,E848*$B$7,-E848*$B$8)</x:f>
        <x:v>0</x:v>
      </x:c>
    </x:row>
    <x:row r="849">
      <x:c r="A849" t="n">
        <x:v>273</x:v>
      </x:c>
      <x:c r="B849" t="str">
        <x:v>2024-09</x:v>
      </x:c>
      <x:c r="C849" t="str">
        <x:v>Salaried</x:v>
      </x:c>
      <x:c r="D849" t="str">
        <x:v>Group A</x:v>
      </x:c>
      <x:c r="E849" s="26" t="n">
        <x:v>52555.36</x:v>
      </x:c>
      <x:c r="F849" t="n">
        <x:v>0</x:v>
      </x:c>
      <x:c r="G849" s="25" t="n">
        <x:v>0.209321</x:v>
      </x:c>
      <x:c r="H849" t="n">
        <x:f>IF(G849&lt;$B$6,1,0)</x:f>
        <x:v>0</x:v>
      </x:c>
      <x:c r="I849" s="26" t="n">
        <x:f>H849*IF(F849=0,E849*$B$7,-E849*$B$8)</x:f>
        <x:v>0</x:v>
      </x:c>
    </x:row>
    <x:row r="850">
      <x:c r="A850" t="n">
        <x:v>318</x:v>
      </x:c>
      <x:c r="B850" t="str">
        <x:v>2024-09</x:v>
      </x:c>
      <x:c r="C850" t="str">
        <x:v>Salaried</x:v>
      </x:c>
      <x:c r="D850" t="str">
        <x:v>Group B</x:v>
      </x:c>
      <x:c r="E850" s="26" t="n">
        <x:v>20760.7</x:v>
      </x:c>
      <x:c r="F850" t="n">
        <x:v>0</x:v>
      </x:c>
      <x:c r="G850" s="25" t="n">
        <x:v>0.143408</x:v>
      </x:c>
      <x:c r="H850" t="n">
        <x:f>IF(G850&lt;$B$6,1,0)</x:f>
        <x:v>1</x:v>
      </x:c>
      <x:c r="I850" s="26" t="n">
        <x:f>H850*IF(F850=0,E850*$B$7,-E850*$B$8)</x:f>
        <x:v>2491.284</x:v>
      </x:c>
    </x:row>
    <x:row r="851">
      <x:c r="A851" t="n">
        <x:v>324</x:v>
      </x:c>
      <x:c r="B851" t="str">
        <x:v>2024-09</x:v>
      </x:c>
      <x:c r="C851" t="str">
        <x:v>Contract</x:v>
      </x:c>
      <x:c r="D851" t="str">
        <x:v>Group B</x:v>
      </x:c>
      <x:c r="E851" s="26" t="n">
        <x:v>18583.05</x:v>
      </x:c>
      <x:c r="F851" t="n">
        <x:v>0</x:v>
      </x:c>
      <x:c r="G851" s="25" t="n">
        <x:v>0.132201</x:v>
      </x:c>
      <x:c r="H851" t="n">
        <x:f>IF(G851&lt;$B$6,1,0)</x:f>
        <x:v>1</x:v>
      </x:c>
      <x:c r="I851" s="26" t="n">
        <x:f>H851*IF(F851=0,E851*$B$7,-E851*$B$8)</x:f>
        <x:v>2229.966</x:v>
      </x:c>
    </x:row>
    <x:row r="852">
      <x:c r="A852" t="n">
        <x:v>368</x:v>
      </x:c>
      <x:c r="B852" t="str">
        <x:v>2024-09</x:v>
      </x:c>
      <x:c r="C852" t="str">
        <x:v>Salaried</x:v>
      </x:c>
      <x:c r="D852" t="str">
        <x:v>Group B</x:v>
      </x:c>
      <x:c r="E852" s="26" t="n">
        <x:v>11467.14</x:v>
      </x:c>
      <x:c r="F852" t="n">
        <x:v>0</x:v>
      </x:c>
      <x:c r="G852" s="25" t="n">
        <x:v>0.607734</x:v>
      </x:c>
      <x:c r="H852" t="n">
        <x:f>IF(G852&lt;$B$6,1,0)</x:f>
        <x:v>0</x:v>
      </x:c>
      <x:c r="I852" s="26" t="n">
        <x:f>H852*IF(F852=0,E852*$B$7,-E852*$B$8)</x:f>
        <x:v>0</x:v>
      </x:c>
    </x:row>
    <x:row r="853">
      <x:c r="A853" t="n">
        <x:v>393</x:v>
      </x:c>
      <x:c r="B853" t="str">
        <x:v>2024-09</x:v>
      </x:c>
      <x:c r="C853" t="str">
        <x:v>Salaried</x:v>
      </x:c>
      <x:c r="D853" t="str">
        <x:v>Group B</x:v>
      </x:c>
      <x:c r="E853" s="26" t="n">
        <x:v>9396.24</x:v>
      </x:c>
      <x:c r="F853" t="n">
        <x:v>0</x:v>
      </x:c>
      <x:c r="G853" s="25" t="n">
        <x:v>0.374781</x:v>
      </x:c>
      <x:c r="H853" t="n">
        <x:f>IF(G853&lt;$B$6,1,0)</x:f>
        <x:v>0</x:v>
      </x:c>
      <x:c r="I853" s="26" t="n">
        <x:f>H853*IF(F853=0,E853*$B$7,-E853*$B$8)</x:f>
        <x:v>0</x:v>
      </x:c>
    </x:row>
    <x:row r="854">
      <x:c r="A854" t="n">
        <x:v>414</x:v>
      </x:c>
      <x:c r="B854" t="str">
        <x:v>2024-09</x:v>
      </x:c>
      <x:c r="C854" t="str">
        <x:v>Salaried</x:v>
      </x:c>
      <x:c r="D854" t="str">
        <x:v>Group A</x:v>
      </x:c>
      <x:c r="E854" s="26" t="n">
        <x:v>19656.28</x:v>
      </x:c>
      <x:c r="F854" t="n">
        <x:v>1</x:v>
      </x:c>
      <x:c r="G854" s="25" t="n">
        <x:v>0.333685</x:v>
      </x:c>
      <x:c r="H854" t="n">
        <x:f>IF(G854&lt;$B$6,1,0)</x:f>
        <x:v>0</x:v>
      </x:c>
      <x:c r="I854" s="26" t="n">
        <x:f>H854*IF(F854=0,E854*$B$7,-E854*$B$8)</x:f>
        <x:v>0</x:v>
      </x:c>
    </x:row>
    <x:row r="855">
      <x:c r="A855" t="n">
        <x:v>420</x:v>
      </x:c>
      <x:c r="B855" t="str">
        <x:v>2024-09</x:v>
      </x:c>
      <x:c r="C855" t="str">
        <x:v>Contract</x:v>
      </x:c>
      <x:c r="D855" t="str">
        <x:v>Group A</x:v>
      </x:c>
      <x:c r="E855" s="26" t="n">
        <x:v>8314.05</x:v>
      </x:c>
      <x:c r="F855" t="n">
        <x:v>0</x:v>
      </x:c>
      <x:c r="G855" s="25" t="n">
        <x:v>0.083478</x:v>
      </x:c>
      <x:c r="H855" t="n">
        <x:f>IF(G855&lt;$B$6,1,0)</x:f>
        <x:v>1</x:v>
      </x:c>
      <x:c r="I855" s="26" t="n">
        <x:f>H855*IF(F855=0,E855*$B$7,-E855*$B$8)</x:f>
        <x:v>997.6859999999999</x:v>
      </x:c>
    </x:row>
    <x:row r="856">
      <x:c r="A856" t="n">
        <x:v>450</x:v>
      </x:c>
      <x:c r="B856" t="str">
        <x:v>2024-09</x:v>
      </x:c>
      <x:c r="C856" t="str">
        <x:v>Salaried</x:v>
      </x:c>
      <x:c r="D856" t="str">
        <x:v>Group A</x:v>
      </x:c>
      <x:c r="E856" s="26" t="n">
        <x:v>10152.16</x:v>
      </x:c>
      <x:c r="F856" t="n">
        <x:v>0</x:v>
      </x:c>
      <x:c r="G856" s="25" t="n">
        <x:v>0.482228</x:v>
      </x:c>
      <x:c r="H856" t="n">
        <x:f>IF(G856&lt;$B$6,1,0)</x:f>
        <x:v>0</x:v>
      </x:c>
      <x:c r="I856" s="26" t="n">
        <x:f>H856*IF(F856=0,E856*$B$7,-E856*$B$8)</x:f>
        <x:v>0</x:v>
      </x:c>
    </x:row>
    <x:row r="857">
      <x:c r="A857" t="n">
        <x:v>463</x:v>
      </x:c>
      <x:c r="B857" t="str">
        <x:v>2024-09</x:v>
      </x:c>
      <x:c r="C857" t="str">
        <x:v>Salaried</x:v>
      </x:c>
      <x:c r="D857" t="str">
        <x:v>Group A</x:v>
      </x:c>
      <x:c r="E857" s="26" t="n">
        <x:v>5379.28</x:v>
      </x:c>
      <x:c r="F857" t="n">
        <x:v>0</x:v>
      </x:c>
      <x:c r="G857" s="25" t="n">
        <x:v>0.138497</x:v>
      </x:c>
      <x:c r="H857" t="n">
        <x:f>IF(G857&lt;$B$6,1,0)</x:f>
        <x:v>1</x:v>
      </x:c>
      <x:c r="I857" s="26" t="n">
        <x:f>H857*IF(F857=0,E857*$B$7,-E857*$B$8)</x:f>
        <x:v>645.5136</x:v>
      </x:c>
    </x:row>
    <x:row r="858">
      <x:c r="A858" t="n">
        <x:v>518</x:v>
      </x:c>
      <x:c r="B858" t="str">
        <x:v>2024-09</x:v>
      </x:c>
      <x:c r="C858" t="str">
        <x:v>Salaried</x:v>
      </x:c>
      <x:c r="D858" t="str">
        <x:v>Group A</x:v>
      </x:c>
      <x:c r="E858" s="26" t="n">
        <x:v>12738.64</x:v>
      </x:c>
      <x:c r="F858" t="n">
        <x:v>0</x:v>
      </x:c>
      <x:c r="G858" s="25" t="n">
        <x:v>0.077575</x:v>
      </x:c>
      <x:c r="H858" t="n">
        <x:f>IF(G858&lt;$B$6,1,0)</x:f>
        <x:v>1</x:v>
      </x:c>
      <x:c r="I858" s="26" t="n">
        <x:f>H858*IF(F858=0,E858*$B$7,-E858*$B$8)</x:f>
        <x:v>1528.6367999999998</x:v>
      </x:c>
    </x:row>
    <x:row r="859">
      <x:c r="A859" t="n">
        <x:v>524</x:v>
      </x:c>
      <x:c r="B859" t="str">
        <x:v>2024-09</x:v>
      </x:c>
      <x:c r="C859" t="str">
        <x:v>Salaried</x:v>
      </x:c>
      <x:c r="D859" t="str">
        <x:v>Group A</x:v>
      </x:c>
      <x:c r="E859" s="26" t="n">
        <x:v>41010.87</x:v>
      </x:c>
      <x:c r="F859" t="n">
        <x:v>1</x:v>
      </x:c>
      <x:c r="G859" s="25" t="n">
        <x:v>0.51259</x:v>
      </x:c>
      <x:c r="H859" t="n">
        <x:f>IF(G859&lt;$B$6,1,0)</x:f>
        <x:v>0</x:v>
      </x:c>
      <x:c r="I859" s="26" t="n">
        <x:f>H859*IF(F859=0,E859*$B$7,-E859*$B$8)</x:f>
        <x:v>0</x:v>
      </x:c>
    </x:row>
    <x:row r="860">
      <x:c r="A860" t="n">
        <x:v>546</x:v>
      </x:c>
      <x:c r="B860" t="str">
        <x:v>2024-09</x:v>
      </x:c>
      <x:c r="C860" t="str">
        <x:v>Salaried</x:v>
      </x:c>
      <x:c r="D860" t="str">
        <x:v>Group A</x:v>
      </x:c>
      <x:c r="E860" s="26" t="n">
        <x:v>29514.05</x:v>
      </x:c>
      <x:c r="F860" t="n">
        <x:v>1</x:v>
      </x:c>
      <x:c r="G860" s="25" t="n">
        <x:v>0.19677</x:v>
      </x:c>
      <x:c r="H860" t="n">
        <x:f>IF(G860&lt;$B$6,1,0)</x:f>
        <x:v>0</x:v>
      </x:c>
      <x:c r="I860" s="26" t="n">
        <x:f>H860*IF(F860=0,E860*$B$7,-E860*$B$8)</x:f>
        <x:v>0</x:v>
      </x:c>
    </x:row>
    <x:row r="861">
      <x:c r="A861" t="n">
        <x:v>572</x:v>
      </x:c>
      <x:c r="B861" t="str">
        <x:v>2024-09</x:v>
      </x:c>
      <x:c r="C861" t="str">
        <x:v>Salaried</x:v>
      </x:c>
      <x:c r="D861" t="str">
        <x:v>Group A</x:v>
      </x:c>
      <x:c r="E861" s="26" t="n">
        <x:v>37047.1</x:v>
      </x:c>
      <x:c r="F861" t="n">
        <x:v>1</x:v>
      </x:c>
      <x:c r="G861" s="25" t="n">
        <x:v>0.493183</x:v>
      </x:c>
      <x:c r="H861" t="n">
        <x:f>IF(G861&lt;$B$6,1,0)</x:f>
        <x:v>0</x:v>
      </x:c>
      <x:c r="I861" s="26" t="n">
        <x:f>H861*IF(F861=0,E861*$B$7,-E861*$B$8)</x:f>
        <x:v>0</x:v>
      </x:c>
    </x:row>
    <x:row r="862">
      <x:c r="A862" t="n">
        <x:v>575</x:v>
      </x:c>
      <x:c r="B862" t="str">
        <x:v>2024-09</x:v>
      </x:c>
      <x:c r="C862" t="str">
        <x:v>Contract</x:v>
      </x:c>
      <x:c r="D862" t="str">
        <x:v>Group B</x:v>
      </x:c>
      <x:c r="E862" s="26" t="n">
        <x:v>19380.25</x:v>
      </x:c>
      <x:c r="F862" t="n">
        <x:v>1</x:v>
      </x:c>
      <x:c r="G862" s="25" t="n">
        <x:v>0.369038</x:v>
      </x:c>
      <x:c r="H862" t="n">
        <x:f>IF(G862&lt;$B$6,1,0)</x:f>
        <x:v>0</x:v>
      </x:c>
      <x:c r="I862" s="26" t="n">
        <x:f>H862*IF(F862=0,E862*$B$7,-E862*$B$8)</x:f>
        <x:v>0</x:v>
      </x:c>
    </x:row>
    <x:row r="863">
      <x:c r="A863" t="n">
        <x:v>591</x:v>
      </x:c>
      <x:c r="B863" t="str">
        <x:v>2024-09</x:v>
      </x:c>
      <x:c r="C863" t="str">
        <x:v>Salaried</x:v>
      </x:c>
      <x:c r="D863" t="str">
        <x:v>Group B</x:v>
      </x:c>
      <x:c r="E863" s="26" t="n">
        <x:v>8660.07</x:v>
      </x:c>
      <x:c r="F863" t="n">
        <x:v>0</x:v>
      </x:c>
      <x:c r="G863" s="25" t="n">
        <x:v>0.0092</x:v>
      </x:c>
      <x:c r="H863" t="n">
        <x:f>IF(G863&lt;$B$6,1,0)</x:f>
        <x:v>1</x:v>
      </x:c>
      <x:c r="I863" s="26" t="n">
        <x:f>H863*IF(F863=0,E863*$B$7,-E863*$B$8)</x:f>
        <x:v>1039.2084</x:v>
      </x:c>
    </x:row>
    <x:row r="864">
      <x:c r="A864" t="n">
        <x:v>595</x:v>
      </x:c>
      <x:c r="B864" t="str">
        <x:v>2024-09</x:v>
      </x:c>
      <x:c r="C864" t="str">
        <x:v>Salaried</x:v>
      </x:c>
      <x:c r="D864" t="str">
        <x:v>Group A</x:v>
      </x:c>
      <x:c r="E864" s="26" t="n">
        <x:v>14841.95</x:v>
      </x:c>
      <x:c r="F864" t="n">
        <x:v>0</x:v>
      </x:c>
      <x:c r="G864" s="25" t="n">
        <x:v>0.166267</x:v>
      </x:c>
      <x:c r="H864" t="n">
        <x:f>IF(G864&lt;$B$6,1,0)</x:f>
        <x:v>0</x:v>
      </x:c>
      <x:c r="I864" s="26" t="n">
        <x:f>H864*IF(F864=0,E864*$B$7,-E864*$B$8)</x:f>
        <x:v>0</x:v>
      </x:c>
    </x:row>
    <x:row r="865">
      <x:c r="A865" t="n">
        <x:v>603</x:v>
      </x:c>
      <x:c r="B865" t="str">
        <x:v>2024-09</x:v>
      </x:c>
      <x:c r="C865" t="str">
        <x:v>Salaried</x:v>
      </x:c>
      <x:c r="D865" t="str">
        <x:v>Group B</x:v>
      </x:c>
      <x:c r="E865" s="26" t="n">
        <x:v>12363.93</x:v>
      </x:c>
      <x:c r="F865" t="n">
        <x:v>0</x:v>
      </x:c>
      <x:c r="G865" s="25" t="n">
        <x:v>0.236946</x:v>
      </x:c>
      <x:c r="H865" t="n">
        <x:f>IF(G865&lt;$B$6,1,0)</x:f>
        <x:v>0</x:v>
      </x:c>
      <x:c r="I865" s="26" t="n">
        <x:f>H865*IF(F865=0,E865*$B$7,-E865*$B$8)</x:f>
        <x:v>0</x:v>
      </x:c>
    </x:row>
    <x:row r="866">
      <x:c r="A866" t="n">
        <x:v>859</x:v>
      </x:c>
      <x:c r="B866" t="str">
        <x:v>2024-09</x:v>
      </x:c>
      <x:c r="C866" t="str">
        <x:v>Salaried</x:v>
      </x:c>
      <x:c r="D866" t="str">
        <x:v>Group A</x:v>
      </x:c>
      <x:c r="E866" s="26" t="n">
        <x:v>18472.04</x:v>
      </x:c>
      <x:c r="F866" t="n">
        <x:v>0</x:v>
      </x:c>
      <x:c r="G866" s="25" t="n">
        <x:v>0.129454</x:v>
      </x:c>
      <x:c r="H866" t="n">
        <x:f>IF(G866&lt;$B$6,1,0)</x:f>
        <x:v>1</x:v>
      </x:c>
      <x:c r="I866" s="26" t="n">
        <x:f>H866*IF(F866=0,E866*$B$7,-E866*$B$8)</x:f>
        <x:v>2216.6448</x:v>
      </x:c>
    </x:row>
    <x:row r="867">
      <x:c r="A867" t="n">
        <x:v>875</x:v>
      </x:c>
      <x:c r="B867" t="str">
        <x:v>2024-09</x:v>
      </x:c>
      <x:c r="C867" t="str">
        <x:v>Salaried</x:v>
      </x:c>
      <x:c r="D867" t="str">
        <x:v>Group A</x:v>
      </x:c>
      <x:c r="E867" s="26" t="n">
        <x:v>49503.92</x:v>
      </x:c>
      <x:c r="F867" t="n">
        <x:v>0</x:v>
      </x:c>
      <x:c r="G867" s="25" t="n">
        <x:v>0.216425</x:v>
      </x:c>
      <x:c r="H867" t="n">
        <x:f>IF(G867&lt;$B$6,1,0)</x:f>
        <x:v>0</x:v>
      </x:c>
      <x:c r="I867" s="26" t="n">
        <x:f>H867*IF(F867=0,E867*$B$7,-E867*$B$8)</x:f>
        <x:v>0</x:v>
      </x:c>
    </x:row>
    <x:row r="868">
      <x:c r="A868" t="n">
        <x:v>886</x:v>
      </x:c>
      <x:c r="B868" t="str">
        <x:v>2024-09</x:v>
      </x:c>
      <x:c r="C868" t="str">
        <x:v>Salaried</x:v>
      </x:c>
      <x:c r="D868" t="str">
        <x:v>Group A</x:v>
      </x:c>
      <x:c r="E868" s="26" t="n">
        <x:v>20545.43</x:v>
      </x:c>
      <x:c r="F868" t="n">
        <x:v>0</x:v>
      </x:c>
      <x:c r="G868" s="25" t="n">
        <x:v>0.120664</x:v>
      </x:c>
      <x:c r="H868" t="n">
        <x:f>IF(G868&lt;$B$6,1,0)</x:f>
        <x:v>1</x:v>
      </x:c>
      <x:c r="I868" s="26" t="n">
        <x:f>H868*IF(F868=0,E868*$B$7,-E868*$B$8)</x:f>
        <x:v>2465.4516</x:v>
      </x:c>
    </x:row>
    <x:row r="869">
      <x:c r="A869" t="n">
        <x:v>896</x:v>
      </x:c>
      <x:c r="B869" t="str">
        <x:v>2024-09</x:v>
      </x:c>
      <x:c r="C869" t="str">
        <x:v>Salaried</x:v>
      </x:c>
      <x:c r="D869" t="str">
        <x:v>Group A</x:v>
      </x:c>
      <x:c r="E869" s="26" t="n">
        <x:v>53685.29</x:v>
      </x:c>
      <x:c r="F869" t="n">
        <x:v>0</x:v>
      </x:c>
      <x:c r="G869" s="25" t="n">
        <x:v>0.459236</x:v>
      </x:c>
      <x:c r="H869" t="n">
        <x:f>IF(G869&lt;$B$6,1,0)</x:f>
        <x:v>0</x:v>
      </x:c>
      <x:c r="I869" s="26" t="n">
        <x:f>H869*IF(F869=0,E869*$B$7,-E869*$B$8)</x:f>
        <x:v>0</x:v>
      </x:c>
    </x:row>
    <x:row r="870">
      <x:c r="A870" t="n">
        <x:v>905</x:v>
      </x:c>
      <x:c r="B870" t="str">
        <x:v>2024-09</x:v>
      </x:c>
      <x:c r="C870" t="str">
        <x:v>Salaried</x:v>
      </x:c>
      <x:c r="D870" t="str">
        <x:v>Group A</x:v>
      </x:c>
      <x:c r="E870" s="26" t="n">
        <x:v>32979.86</x:v>
      </x:c>
      <x:c r="F870" t="n">
        <x:v>1</x:v>
      </x:c>
      <x:c r="G870" s="25" t="n">
        <x:v>0.80858</x:v>
      </x:c>
      <x:c r="H870" t="n">
        <x:f>IF(G870&lt;$B$6,1,0)</x:f>
        <x:v>0</x:v>
      </x:c>
      <x:c r="I870" s="26" t="n">
        <x:f>H870*IF(F870=0,E870*$B$7,-E870*$B$8)</x:f>
        <x:v>0</x:v>
      </x:c>
    </x:row>
    <x:row r="871">
      <x:c r="A871" t="n">
        <x:v>969</x:v>
      </x:c>
      <x:c r="B871" t="str">
        <x:v>2024-09</x:v>
      </x:c>
      <x:c r="C871" t="str">
        <x:v>Salaried</x:v>
      </x:c>
      <x:c r="D871" t="str">
        <x:v>Group B</x:v>
      </x:c>
      <x:c r="E871" s="26" t="n">
        <x:v>17148.59</x:v>
      </x:c>
      <x:c r="F871" t="n">
        <x:v>0</x:v>
      </x:c>
      <x:c r="G871" s="25" t="n">
        <x:v>0.256089</x:v>
      </x:c>
      <x:c r="H871" t="n">
        <x:f>IF(G871&lt;$B$6,1,0)</x:f>
        <x:v>0</x:v>
      </x:c>
      <x:c r="I871" s="26" t="n">
        <x:f>H871*IF(F871=0,E871*$B$7,-E871*$B$8)</x:f>
        <x:v>0</x:v>
      </x:c>
    </x:row>
    <x:row r="872">
      <x:c r="A872" t="n">
        <x:v>1087</x:v>
      </x:c>
      <x:c r="B872" t="str">
        <x:v>2024-09</x:v>
      </x:c>
      <x:c r="C872" t="str">
        <x:v>Salaried</x:v>
      </x:c>
      <x:c r="D872" t="str">
        <x:v>Group B</x:v>
      </x:c>
      <x:c r="E872" s="26" t="n">
        <x:v>8689.17</x:v>
      </x:c>
      <x:c r="F872" t="n">
        <x:v>0</x:v>
      </x:c>
      <x:c r="G872" s="25" t="n">
        <x:v>0.111602</x:v>
      </x:c>
      <x:c r="H872" t="n">
        <x:f>IF(G872&lt;$B$6,1,0)</x:f>
        <x:v>1</x:v>
      </x:c>
      <x:c r="I872" s="26" t="n">
        <x:f>H872*IF(F872=0,E872*$B$7,-E872*$B$8)</x:f>
        <x:v>1042.7004</x:v>
      </x:c>
    </x:row>
    <x:row r="873">
      <x:c r="A873" t="n">
        <x:v>1091</x:v>
      </x:c>
      <x:c r="B873" t="str">
        <x:v>2024-09</x:v>
      </x:c>
      <x:c r="C873" t="str">
        <x:v>Salaried</x:v>
      </x:c>
      <x:c r="D873" t="str">
        <x:v>Group B</x:v>
      </x:c>
      <x:c r="E873" s="26" t="n">
        <x:v>11905.36</x:v>
      </x:c>
      <x:c r="F873" t="n">
        <x:v>0</x:v>
      </x:c>
      <x:c r="G873" s="25" t="n">
        <x:v>0.440007</x:v>
      </x:c>
      <x:c r="H873" t="n">
        <x:f>IF(G873&lt;$B$6,1,0)</x:f>
        <x:v>0</x:v>
      </x:c>
      <x:c r="I873" s="26" t="n">
        <x:f>H873*IF(F873=0,E873*$B$7,-E873*$B$8)</x:f>
        <x:v>0</x:v>
      </x:c>
    </x:row>
    <x:row r="874">
      <x:c r="A874" t="n">
        <x:v>1118</x:v>
      </x:c>
      <x:c r="B874" t="str">
        <x:v>2024-09</x:v>
      </x:c>
      <x:c r="C874" t="str">
        <x:v>Contract</x:v>
      </x:c>
      <x:c r="D874" t="str">
        <x:v>Group A</x:v>
      </x:c>
      <x:c r="E874" s="26" t="n">
        <x:v>8007.78</x:v>
      </x:c>
      <x:c r="F874" t="n">
        <x:v>0</x:v>
      </x:c>
      <x:c r="G874" s="25" t="n">
        <x:v>0.124145</x:v>
      </x:c>
      <x:c r="H874" t="n">
        <x:f>IF(G874&lt;$B$6,1,0)</x:f>
        <x:v>1</x:v>
      </x:c>
      <x:c r="I874" s="26" t="n">
        <x:f>H874*IF(F874=0,E874*$B$7,-E874*$B$8)</x:f>
        <x:v>960.9336</x:v>
      </x:c>
    </x:row>
    <x:row r="875">
      <x:c r="A875" t="n">
        <x:v>1191</x:v>
      </x:c>
      <x:c r="B875" t="str">
        <x:v>2024-09</x:v>
      </x:c>
      <x:c r="C875" t="str">
        <x:v>Contract</x:v>
      </x:c>
      <x:c r="D875" t="str">
        <x:v>Group B</x:v>
      </x:c>
      <x:c r="E875" s="26" t="n">
        <x:v>26712.41</x:v>
      </x:c>
      <x:c r="F875" t="n">
        <x:v>0</x:v>
      </x:c>
      <x:c r="G875" s="25" t="n">
        <x:v>0.059383</x:v>
      </x:c>
      <x:c r="H875" t="n">
        <x:f>IF(G875&lt;$B$6,1,0)</x:f>
        <x:v>1</x:v>
      </x:c>
      <x:c r="I875" s="26" t="n">
        <x:f>H875*IF(F875=0,E875*$B$7,-E875*$B$8)</x:f>
        <x:v>3205.4892</x:v>
      </x:c>
    </x:row>
    <x:row r="876">
      <x:c r="A876" t="n">
        <x:v>1194</x:v>
      </x:c>
      <x:c r="B876" t="str">
        <x:v>2024-09</x:v>
      </x:c>
      <x:c r="C876" t="str">
        <x:v>Self employed</x:v>
      </x:c>
      <x:c r="D876" t="str">
        <x:v>Group A</x:v>
      </x:c>
      <x:c r="E876" s="26" t="n">
        <x:v>10212.41</x:v>
      </x:c>
      <x:c r="F876" t="n">
        <x:v>0</x:v>
      </x:c>
      <x:c r="G876" s="25" t="n">
        <x:v>0.189069</x:v>
      </x:c>
      <x:c r="H876" t="n">
        <x:f>IF(G876&lt;$B$6,1,0)</x:f>
        <x:v>0</x:v>
      </x:c>
      <x:c r="I876" s="26" t="n">
        <x:f>H876*IF(F876=0,E876*$B$7,-E876*$B$8)</x:f>
        <x:v>0</x:v>
      </x:c>
    </x:row>
    <x:row r="877">
      <x:c r="A877" t="n">
        <x:v>1195</x:v>
      </x:c>
      <x:c r="B877" t="str">
        <x:v>2024-09</x:v>
      </x:c>
      <x:c r="C877" t="str">
        <x:v>Salaried</x:v>
      </x:c>
      <x:c r="D877" t="str">
        <x:v>Group B</x:v>
      </x:c>
      <x:c r="E877" s="26" t="n">
        <x:v>18177.38</x:v>
      </x:c>
      <x:c r="F877" t="n">
        <x:v>0</x:v>
      </x:c>
      <x:c r="G877" s="25" t="n">
        <x:v>0.156264</x:v>
      </x:c>
      <x:c r="H877" t="n">
        <x:f>IF(G877&lt;$B$6,1,0)</x:f>
        <x:v>1</x:v>
      </x:c>
      <x:c r="I877" s="26" t="n">
        <x:f>H877*IF(F877=0,E877*$B$7,-E877*$B$8)</x:f>
        <x:v>2181.2856</x:v>
      </x:c>
    </x:row>
    <x:row r="878">
      <x:c r="A878" t="n">
        <x:v>1214</x:v>
      </x:c>
      <x:c r="B878" t="str">
        <x:v>2024-09</x:v>
      </x:c>
      <x:c r="C878" t="str">
        <x:v>Salaried</x:v>
      </x:c>
      <x:c r="D878" t="str">
        <x:v>Group A</x:v>
      </x:c>
      <x:c r="E878" s="26" t="n">
        <x:v>38918.31</x:v>
      </x:c>
      <x:c r="F878" t="n">
        <x:v>1</x:v>
      </x:c>
      <x:c r="G878" s="25" t="n">
        <x:v>0.180453</x:v>
      </x:c>
      <x:c r="H878" t="n">
        <x:f>IF(G878&lt;$B$6,1,0)</x:f>
        <x:v>0</x:v>
      </x:c>
      <x:c r="I878" s="26" t="n">
        <x:f>H878*IF(F878=0,E878*$B$7,-E878*$B$8)</x:f>
        <x:v>0</x:v>
      </x:c>
    </x:row>
    <x:row r="879">
      <x:c r="A879" t="n">
        <x:v>1253</x:v>
      </x:c>
      <x:c r="B879" t="str">
        <x:v>2024-09</x:v>
      </x:c>
      <x:c r="C879" t="str">
        <x:v>Contract</x:v>
      </x:c>
      <x:c r="D879" t="str">
        <x:v>Group A</x:v>
      </x:c>
      <x:c r="E879" s="26" t="n">
        <x:v>6313.08</x:v>
      </x:c>
      <x:c r="F879" t="n">
        <x:v>0</x:v>
      </x:c>
      <x:c r="G879" s="25" t="n">
        <x:v>0.084716</x:v>
      </x:c>
      <x:c r="H879" t="n">
        <x:f>IF(G879&lt;$B$6,1,0)</x:f>
        <x:v>1</x:v>
      </x:c>
      <x:c r="I879" s="26" t="n">
        <x:f>H879*IF(F879=0,E879*$B$7,-E879*$B$8)</x:f>
        <x:v>757.5695999999999</x:v>
      </x:c>
    </x:row>
    <x:row r="880">
      <x:c r="A880" t="n">
        <x:v>1279</x:v>
      </x:c>
      <x:c r="B880" t="str">
        <x:v>2024-09</x:v>
      </x:c>
      <x:c r="C880" t="str">
        <x:v>Salaried</x:v>
      </x:c>
      <x:c r="D880" t="str">
        <x:v>Group B</x:v>
      </x:c>
      <x:c r="E880" s="26" t="n">
        <x:v>7218.55</x:v>
      </x:c>
      <x:c r="F880" t="n">
        <x:v>0</x:v>
      </x:c>
      <x:c r="G880" s="25" t="n">
        <x:v>0.133458</x:v>
      </x:c>
      <x:c r="H880" t="n">
        <x:f>IF(G880&lt;$B$6,1,0)</x:f>
        <x:v>1</x:v>
      </x:c>
      <x:c r="I880" s="26" t="n">
        <x:f>H880*IF(F880=0,E880*$B$7,-E880*$B$8)</x:f>
        <x:v>866.226</x:v>
      </x:c>
    </x:row>
    <x:row r="881">
      <x:c r="A881" t="n">
        <x:v>1285</x:v>
      </x:c>
      <x:c r="B881" t="str">
        <x:v>2024-09</x:v>
      </x:c>
      <x:c r="C881" t="str">
        <x:v>Self employed</x:v>
      </x:c>
      <x:c r="D881" t="str">
        <x:v>Group A</x:v>
      </x:c>
      <x:c r="E881" s="26" t="n">
        <x:v>20391.48</x:v>
      </x:c>
      <x:c r="F881" t="n">
        <x:v>0</x:v>
      </x:c>
      <x:c r="G881" s="25" t="n">
        <x:v>0.09147</x:v>
      </x:c>
      <x:c r="H881" t="n">
        <x:f>IF(G881&lt;$B$6,1,0)</x:f>
        <x:v>1</x:v>
      </x:c>
      <x:c r="I881" s="26" t="n">
        <x:f>H881*IF(F881=0,E881*$B$7,-E881*$B$8)</x:f>
        <x:v>2446.9775999999997</x:v>
      </x:c>
    </x:row>
    <x:row r="882">
      <x:c r="A882" t="n">
        <x:v>1292</x:v>
      </x:c>
      <x:c r="B882" t="str">
        <x:v>2024-09</x:v>
      </x:c>
      <x:c r="C882" t="str">
        <x:v>Self employed</x:v>
      </x:c>
      <x:c r="D882" t="str">
        <x:v>Group A</x:v>
      </x:c>
      <x:c r="E882" s="26" t="n">
        <x:v>24686.34</x:v>
      </x:c>
      <x:c r="F882" t="n">
        <x:v>1</x:v>
      </x:c>
      <x:c r="G882" s="25" t="n">
        <x:v>0.509558</x:v>
      </x:c>
      <x:c r="H882" t="n">
        <x:f>IF(G882&lt;$B$6,1,0)</x:f>
        <x:v>0</x:v>
      </x:c>
      <x:c r="I882" s="26" t="n">
        <x:f>H882*IF(F882=0,E882*$B$7,-E882*$B$8)</x:f>
        <x:v>0</x:v>
      </x:c>
    </x:row>
    <x:row r="883">
      <x:c r="A883" t="n">
        <x:v>1314</x:v>
      </x:c>
      <x:c r="B883" t="str">
        <x:v>2024-09</x:v>
      </x:c>
      <x:c r="C883" t="str">
        <x:v>Self employed</x:v>
      </x:c>
      <x:c r="D883" t="str">
        <x:v>Group A</x:v>
      </x:c>
      <x:c r="E883" s="26" t="n">
        <x:v>7997.83</x:v>
      </x:c>
      <x:c r="F883" t="n">
        <x:v>1</x:v>
      </x:c>
      <x:c r="G883" s="25" t="n">
        <x:v>0.53025</x:v>
      </x:c>
      <x:c r="H883" t="n">
        <x:f>IF(G883&lt;$B$6,1,0)</x:f>
        <x:v>0</x:v>
      </x:c>
      <x:c r="I883" s="26" t="n">
        <x:f>H883*IF(F883=0,E883*$B$7,-E883*$B$8)</x:f>
        <x:v>0</x:v>
      </x:c>
    </x:row>
    <x:row r="884">
      <x:c r="A884" t="n">
        <x:v>1329</x:v>
      </x:c>
      <x:c r="B884" t="str">
        <x:v>2024-09</x:v>
      </x:c>
      <x:c r="C884" t="str">
        <x:v>Salaried</x:v>
      </x:c>
      <x:c r="D884" t="str">
        <x:v>Group A</x:v>
      </x:c>
      <x:c r="E884" s="26" t="n">
        <x:v>4949.49</x:v>
      </x:c>
      <x:c r="F884" t="n">
        <x:v>1</x:v>
      </x:c>
      <x:c r="G884" s="25" t="n">
        <x:v>0.188835</x:v>
      </x:c>
      <x:c r="H884" t="n">
        <x:f>IF(G884&lt;$B$6,1,0)</x:f>
        <x:v>0</x:v>
      </x:c>
      <x:c r="I884" s="26" t="n">
        <x:f>H884*IF(F884=0,E884*$B$7,-E884*$B$8)</x:f>
        <x:v>0</x:v>
      </x:c>
    </x:row>
    <x:row r="885">
      <x:c r="A885" t="n">
        <x:v>1377</x:v>
      </x:c>
      <x:c r="B885" t="str">
        <x:v>2024-09</x:v>
      </x:c>
      <x:c r="C885" t="str">
        <x:v>Self employed</x:v>
      </x:c>
      <x:c r="D885" t="str">
        <x:v>Group A</x:v>
      </x:c>
      <x:c r="E885" s="26" t="n">
        <x:v>5317.66</x:v>
      </x:c>
      <x:c r="F885" t="n">
        <x:v>0</x:v>
      </x:c>
      <x:c r="G885" s="25" t="n">
        <x:v>0.135558</x:v>
      </x:c>
      <x:c r="H885" t="n">
        <x:f>IF(G885&lt;$B$6,1,0)</x:f>
        <x:v>1</x:v>
      </x:c>
      <x:c r="I885" s="26" t="n">
        <x:f>H885*IF(F885=0,E885*$B$7,-E885*$B$8)</x:f>
        <x:v>638.1192</x:v>
      </x:c>
    </x:row>
    <x:row r="886">
      <x:c r="A886" t="n">
        <x:v>1479</x:v>
      </x:c>
      <x:c r="B886" t="str">
        <x:v>2024-09</x:v>
      </x:c>
      <x:c r="C886" t="str">
        <x:v>Salaried</x:v>
      </x:c>
      <x:c r="D886" t="str">
        <x:v>Group B</x:v>
      </x:c>
      <x:c r="E886" s="26" t="n">
        <x:v>29551.55</x:v>
      </x:c>
      <x:c r="F886" t="n">
        <x:v>1</x:v>
      </x:c>
      <x:c r="G886" s="25" t="n">
        <x:v>0.323768</x:v>
      </x:c>
      <x:c r="H886" t="n">
        <x:f>IF(G886&lt;$B$6,1,0)</x:f>
        <x:v>0</x:v>
      </x:c>
      <x:c r="I886" s="26" t="n">
        <x:f>H886*IF(F886=0,E886*$B$7,-E886*$B$8)</x:f>
        <x:v>0</x:v>
      </x:c>
    </x:row>
    <x:row r="887">
      <x:c r="A887" t="n">
        <x:v>1504</x:v>
      </x:c>
      <x:c r="B887" t="str">
        <x:v>2024-09</x:v>
      </x:c>
      <x:c r="C887" t="str">
        <x:v>Contract</x:v>
      </x:c>
      <x:c r="D887" t="str">
        <x:v>Group B</x:v>
      </x:c>
      <x:c r="E887" s="26" t="n">
        <x:v>4032.97</x:v>
      </x:c>
      <x:c r="F887" t="n">
        <x:v>0</x:v>
      </x:c>
      <x:c r="G887" s="25" t="n">
        <x:v>0.130486</x:v>
      </x:c>
      <x:c r="H887" t="n">
        <x:f>IF(G887&lt;$B$6,1,0)</x:f>
        <x:v>1</x:v>
      </x:c>
      <x:c r="I887" s="26" t="n">
        <x:f>H887*IF(F887=0,E887*$B$7,-E887*$B$8)</x:f>
        <x:v>483.9564</x:v>
      </x:c>
    </x:row>
    <x:row r="888">
      <x:c r="A888" t="n">
        <x:v>1516</x:v>
      </x:c>
      <x:c r="B888" t="str">
        <x:v>2024-09</x:v>
      </x:c>
      <x:c r="C888" t="str">
        <x:v>Self employed</x:v>
      </x:c>
      <x:c r="D888" t="str">
        <x:v>Group A</x:v>
      </x:c>
      <x:c r="E888" s="26" t="n">
        <x:v>67745.23</x:v>
      </x:c>
      <x:c r="F888" t="n">
        <x:v>0</x:v>
      </x:c>
      <x:c r="G888" s="25" t="n">
        <x:v>0.216105</x:v>
      </x:c>
      <x:c r="H888" t="n">
        <x:f>IF(G888&lt;$B$6,1,0)</x:f>
        <x:v>0</x:v>
      </x:c>
      <x:c r="I888" s="26" t="n">
        <x:f>H888*IF(F888=0,E888*$B$7,-E888*$B$8)</x:f>
        <x:v>0</x:v>
      </x:c>
    </x:row>
    <x:row r="889">
      <x:c r="A889" t="n">
        <x:v>1519</x:v>
      </x:c>
      <x:c r="B889" t="str">
        <x:v>2024-09</x:v>
      </x:c>
      <x:c r="C889" t="str">
        <x:v>Salaried</x:v>
      </x:c>
      <x:c r="D889" t="str">
        <x:v>Group B</x:v>
      </x:c>
      <x:c r="E889" s="26" t="n">
        <x:v>35140.23</x:v>
      </x:c>
      <x:c r="F889" t="n">
        <x:v>0</x:v>
      </x:c>
      <x:c r="G889" s="25" t="n">
        <x:v>0.107697</x:v>
      </x:c>
      <x:c r="H889" t="n">
        <x:f>IF(G889&lt;$B$6,1,0)</x:f>
        <x:v>1</x:v>
      </x:c>
      <x:c r="I889" s="26" t="n">
        <x:f>H889*IF(F889=0,E889*$B$7,-E889*$B$8)</x:f>
        <x:v>4216.8276000000005</x:v>
      </x:c>
    </x:row>
    <x:row r="890">
      <x:c r="A890" t="n">
        <x:v>1521</x:v>
      </x:c>
      <x:c r="B890" t="str">
        <x:v>2024-09</x:v>
      </x:c>
      <x:c r="C890" t="str">
        <x:v>Self employed</x:v>
      </x:c>
      <x:c r="D890" t="str">
        <x:v>Group A</x:v>
      </x:c>
      <x:c r="E890" s="26" t="n">
        <x:v>8645.55</x:v>
      </x:c>
      <x:c r="F890" t="n">
        <x:v>1</x:v>
      </x:c>
      <x:c r="G890" s="25" t="n">
        <x:v>0.108359</x:v>
      </x:c>
      <x:c r="H890" t="n">
        <x:f>IF(G890&lt;$B$6,1,0)</x:f>
        <x:v>1</x:v>
      </x:c>
      <x:c r="I890" s="26" t="n">
        <x:f>H890*IF(F890=0,E890*$B$7,-E890*$B$8)</x:f>
        <x:v>-5619.6075</x:v>
      </x:c>
    </x:row>
    <x:row r="891">
      <x:c r="A891" t="n">
        <x:v>1542</x:v>
      </x:c>
      <x:c r="B891" t="str">
        <x:v>2024-09</x:v>
      </x:c>
      <x:c r="C891" t="str">
        <x:v>Salaried</x:v>
      </x:c>
      <x:c r="D891" t="str">
        <x:v>Group A</x:v>
      </x:c>
      <x:c r="E891" s="26" t="n">
        <x:v>6392.16</x:v>
      </x:c>
      <x:c r="F891" t="n">
        <x:v>1</x:v>
      </x:c>
      <x:c r="G891" s="25" t="n">
        <x:v>0.419665</x:v>
      </x:c>
      <x:c r="H891" t="n">
        <x:f>IF(G891&lt;$B$6,1,0)</x:f>
        <x:v>0</x:v>
      </x:c>
      <x:c r="I891" s="26" t="n">
        <x:f>H891*IF(F891=0,E891*$B$7,-E891*$B$8)</x:f>
        <x:v>0</x:v>
      </x:c>
    </x:row>
    <x:row r="892">
      <x:c r="A892" t="n">
        <x:v>1555</x:v>
      </x:c>
      <x:c r="B892" t="str">
        <x:v>2024-09</x:v>
      </x:c>
      <x:c r="C892" t="str">
        <x:v>Salaried</x:v>
      </x:c>
      <x:c r="D892" t="str">
        <x:v>Group B</x:v>
      </x:c>
      <x:c r="E892" s="26" t="n">
        <x:v>10902.88</x:v>
      </x:c>
      <x:c r="F892" t="n">
        <x:v>0</x:v>
      </x:c>
      <x:c r="G892" s="25" t="n">
        <x:v>0.201662</x:v>
      </x:c>
      <x:c r="H892" t="n">
        <x:f>IF(G892&lt;$B$6,1,0)</x:f>
        <x:v>0</x:v>
      </x:c>
      <x:c r="I892" s="26" t="n">
        <x:f>H892*IF(F892=0,E892*$B$7,-E892*$B$8)</x:f>
        <x:v>0</x:v>
      </x:c>
    </x:row>
    <x:row r="893">
      <x:c r="A893" t="n">
        <x:v>1560</x:v>
      </x:c>
      <x:c r="B893" t="str">
        <x:v>2024-09</x:v>
      </x:c>
      <x:c r="C893" t="str">
        <x:v>Salaried</x:v>
      </x:c>
      <x:c r="D893" t="str">
        <x:v>Group A</x:v>
      </x:c>
      <x:c r="E893" s="26" t="n">
        <x:v>28008.56</x:v>
      </x:c>
      <x:c r="F893" t="n">
        <x:v>1</x:v>
      </x:c>
      <x:c r="G893" s="25" t="n">
        <x:v>0.394142</x:v>
      </x:c>
      <x:c r="H893" t="n">
        <x:f>IF(G893&lt;$B$6,1,0)</x:f>
        <x:v>0</x:v>
      </x:c>
      <x:c r="I893" s="26" t="n">
        <x:f>H893*IF(F893=0,E893*$B$7,-E893*$B$8)</x:f>
        <x:v>0</x:v>
      </x:c>
    </x:row>
    <x:row r="894">
      <x:c r="A894" t="n">
        <x:v>1582</x:v>
      </x:c>
      <x:c r="B894" t="str">
        <x:v>2024-09</x:v>
      </x:c>
      <x:c r="C894" t="str">
        <x:v>Self employed</x:v>
      </x:c>
      <x:c r="D894" t="str">
        <x:v>Group A</x:v>
      </x:c>
      <x:c r="E894" s="26" t="n">
        <x:v>8934.86</x:v>
      </x:c>
      <x:c r="F894" t="n">
        <x:v>1</x:v>
      </x:c>
      <x:c r="G894" s="25" t="n">
        <x:v>0.497918</x:v>
      </x:c>
      <x:c r="H894" t="n">
        <x:f>IF(G894&lt;$B$6,1,0)</x:f>
        <x:v>0</x:v>
      </x:c>
      <x:c r="I894" s="26" t="n">
        <x:f>H894*IF(F894=0,E894*$B$7,-E894*$B$8)</x:f>
        <x:v>0</x:v>
      </x:c>
    </x:row>
    <x:row r="895">
      <x:c r="A895" t="n">
        <x:v>1607</x:v>
      </x:c>
      <x:c r="B895" t="str">
        <x:v>2024-09</x:v>
      </x:c>
      <x:c r="C895" t="str">
        <x:v>Salaried</x:v>
      </x:c>
      <x:c r="D895" t="str">
        <x:v>Group B</x:v>
      </x:c>
      <x:c r="E895" s="26" t="n">
        <x:v>20695.86</x:v>
      </x:c>
      <x:c r="F895" t="n">
        <x:v>0</x:v>
      </x:c>
      <x:c r="G895" s="25" t="n">
        <x:v>0.099236</x:v>
      </x:c>
      <x:c r="H895" t="n">
        <x:f>IF(G895&lt;$B$6,1,0)</x:f>
        <x:v>1</x:v>
      </x:c>
      <x:c r="I895" s="26" t="n">
        <x:f>H895*IF(F895=0,E895*$B$7,-E895*$B$8)</x:f>
        <x:v>2483.5032</x:v>
      </x:c>
    </x:row>
    <x:row r="896">
      <x:c r="A896" t="n">
        <x:v>1612</x:v>
      </x:c>
      <x:c r="B896" t="str">
        <x:v>2024-09</x:v>
      </x:c>
      <x:c r="C896" t="str">
        <x:v>Contract</x:v>
      </x:c>
      <x:c r="D896" t="str">
        <x:v>Group A</x:v>
      </x:c>
      <x:c r="E896" s="26" t="n">
        <x:v>30347.85</x:v>
      </x:c>
      <x:c r="F896" t="n">
        <x:v>0</x:v>
      </x:c>
      <x:c r="G896" s="25" t="n">
        <x:v>0.240087</x:v>
      </x:c>
      <x:c r="H896" t="n">
        <x:f>IF(G896&lt;$B$6,1,0)</x:f>
        <x:v>0</x:v>
      </x:c>
      <x:c r="I896" s="26" t="n">
        <x:f>H896*IF(F896=0,E896*$B$7,-E896*$B$8)</x:f>
        <x:v>0</x:v>
      </x:c>
    </x:row>
    <x:row r="897">
      <x:c r="A897" t="n">
        <x:v>1643</x:v>
      </x:c>
      <x:c r="B897" t="str">
        <x:v>2024-09</x:v>
      </x:c>
      <x:c r="C897" t="str">
        <x:v>Salaried</x:v>
      </x:c>
      <x:c r="D897" t="str">
        <x:v>Group A</x:v>
      </x:c>
      <x:c r="E897" s="26" t="n">
        <x:v>9342.76</x:v>
      </x:c>
      <x:c r="F897" t="n">
        <x:v>0</x:v>
      </x:c>
      <x:c r="G897" s="25" t="n">
        <x:v>0.475865</x:v>
      </x:c>
      <x:c r="H897" t="n">
        <x:f>IF(G897&lt;$B$6,1,0)</x:f>
        <x:v>0</x:v>
      </x:c>
      <x:c r="I897" s="26" t="n">
        <x:f>H897*IF(F897=0,E897*$B$7,-E897*$B$8)</x:f>
        <x:v>0</x:v>
      </x:c>
    </x:row>
    <x:row r="898">
      <x:c r="A898" t="n">
        <x:v>1704</x:v>
      </x:c>
      <x:c r="B898" t="str">
        <x:v>2024-09</x:v>
      </x:c>
      <x:c r="C898" t="str">
        <x:v>Self employed</x:v>
      </x:c>
      <x:c r="D898" t="str">
        <x:v>Group A</x:v>
      </x:c>
      <x:c r="E898" s="26" t="n">
        <x:v>7686.81</x:v>
      </x:c>
      <x:c r="F898" t="n">
        <x:v>0</x:v>
      </x:c>
      <x:c r="G898" s="25" t="n">
        <x:v>0.097663</x:v>
      </x:c>
      <x:c r="H898" t="n">
        <x:f>IF(G898&lt;$B$6,1,0)</x:f>
        <x:v>1</x:v>
      </x:c>
      <x:c r="I898" s="26" t="n">
        <x:f>H898*IF(F898=0,E898*$B$7,-E898*$B$8)</x:f>
        <x:v>922.4172</x:v>
      </x:c>
    </x:row>
    <x:row r="899">
      <x:c r="A899" t="n">
        <x:v>1748</x:v>
      </x:c>
      <x:c r="B899" t="str">
        <x:v>2024-09</x:v>
      </x:c>
      <x:c r="C899" t="str">
        <x:v>Self employed</x:v>
      </x:c>
      <x:c r="D899" t="str">
        <x:v>Group A</x:v>
      </x:c>
      <x:c r="E899" s="26" t="n">
        <x:v>23376.35</x:v>
      </x:c>
      <x:c r="F899" t="n">
        <x:v>0</x:v>
      </x:c>
      <x:c r="G899" s="25" t="n">
        <x:v>0.0451</x:v>
      </x:c>
      <x:c r="H899" t="n">
        <x:f>IF(G899&lt;$B$6,1,0)</x:f>
        <x:v>1</x:v>
      </x:c>
      <x:c r="I899" s="26" t="n">
        <x:f>H899*IF(F899=0,E899*$B$7,-E899*$B$8)</x:f>
        <x:v>2805.162</x:v>
      </x:c>
    </x:row>
    <x:row r="900">
      <x:c r="A900" t="n">
        <x:v>1795</x:v>
      </x:c>
      <x:c r="B900" t="str">
        <x:v>2024-09</x:v>
      </x:c>
      <x:c r="C900" t="str">
        <x:v>Salaried</x:v>
      </x:c>
      <x:c r="D900" t="str">
        <x:v>Group B</x:v>
      </x:c>
      <x:c r="E900" s="26" t="n">
        <x:v>16333.5</x:v>
      </x:c>
      <x:c r="F900" t="n">
        <x:v>0</x:v>
      </x:c>
      <x:c r="G900" s="25" t="n">
        <x:v>0.036888</x:v>
      </x:c>
      <x:c r="H900" t="n">
        <x:f>IF(G900&lt;$B$6,1,0)</x:f>
        <x:v>1</x:v>
      </x:c>
      <x:c r="I900" s="26" t="n">
        <x:f>H900*IF(F900=0,E900*$B$7,-E900*$B$8)</x:f>
        <x:v>1960.02</x:v>
      </x:c>
    </x:row>
    <x:row r="901">
      <x:c r="A901" t="n">
        <x:v>1819</x:v>
      </x:c>
      <x:c r="B901" t="str">
        <x:v>2024-09</x:v>
      </x:c>
      <x:c r="C901" t="str">
        <x:v>Salaried</x:v>
      </x:c>
      <x:c r="D901" t="str">
        <x:v>Group A</x:v>
      </x:c>
      <x:c r="E901" s="26" t="n">
        <x:v>13259.85</x:v>
      </x:c>
      <x:c r="F901" t="n">
        <x:v>0</x:v>
      </x:c>
      <x:c r="G901" s="25" t="n">
        <x:v>0.288845</x:v>
      </x:c>
      <x:c r="H901" t="n">
        <x:f>IF(G901&lt;$B$6,1,0)</x:f>
        <x:v>0</x:v>
      </x:c>
      <x:c r="I901" s="26" t="n">
        <x:f>H901*IF(F901=0,E901*$B$7,-E901*$B$8)</x:f>
        <x:v>0</x:v>
      </x:c>
    </x:row>
    <x:row r="902">
      <x:c r="A902" t="n">
        <x:v>1848</x:v>
      </x:c>
      <x:c r="B902" t="str">
        <x:v>2024-09</x:v>
      </x:c>
      <x:c r="C902" t="str">
        <x:v>Salaried</x:v>
      </x:c>
      <x:c r="D902" t="str">
        <x:v>Group B</x:v>
      </x:c>
      <x:c r="E902" s="26" t="n">
        <x:v>42171.86</x:v>
      </x:c>
      <x:c r="F902" t="n">
        <x:v>0</x:v>
      </x:c>
      <x:c r="G902" s="25" t="n">
        <x:v>0.111525</x:v>
      </x:c>
      <x:c r="H902" t="n">
        <x:f>IF(G902&lt;$B$6,1,0)</x:f>
        <x:v>1</x:v>
      </x:c>
      <x:c r="I902" s="26" t="n">
        <x:f>H902*IF(F902=0,E902*$B$7,-E902*$B$8)</x:f>
        <x:v>5060.6232</x:v>
      </x:c>
    </x:row>
    <x:row r="903">
      <x:c r="A903" t="n">
        <x:v>1871</x:v>
      </x:c>
      <x:c r="B903" t="str">
        <x:v>2024-09</x:v>
      </x:c>
      <x:c r="C903" t="str">
        <x:v>Salaried</x:v>
      </x:c>
      <x:c r="D903" t="str">
        <x:v>Group A</x:v>
      </x:c>
      <x:c r="E903" s="26" t="n">
        <x:v>5288.78</x:v>
      </x:c>
      <x:c r="F903" t="n">
        <x:v>0</x:v>
      </x:c>
      <x:c r="G903" s="25" t="n">
        <x:v>0.223083</x:v>
      </x:c>
      <x:c r="H903" t="n">
        <x:f>IF(G903&lt;$B$6,1,0)</x:f>
        <x:v>0</x:v>
      </x:c>
      <x:c r="I903" s="26" t="n">
        <x:f>H903*IF(F903=0,E903*$B$7,-E903*$B$8)</x:f>
        <x:v>0</x:v>
      </x:c>
    </x:row>
    <x:row r="904">
      <x:c r="A904" t="n">
        <x:v>1917</x:v>
      </x:c>
      <x:c r="B904" t="str">
        <x:v>2024-09</x:v>
      </x:c>
      <x:c r="C904" t="str">
        <x:v>Salaried</x:v>
      </x:c>
      <x:c r="D904" t="str">
        <x:v>Group B</x:v>
      </x:c>
      <x:c r="E904" s="26" t="n">
        <x:v>10754.61</x:v>
      </x:c>
      <x:c r="F904" t="n">
        <x:v>0</x:v>
      </x:c>
      <x:c r="G904" s="25" t="n">
        <x:v>0.065783</x:v>
      </x:c>
      <x:c r="H904" t="n">
        <x:f>IF(G904&lt;$B$6,1,0)</x:f>
        <x:v>1</x:v>
      </x:c>
      <x:c r="I904" s="26" t="n">
        <x:f>H904*IF(F904=0,E904*$B$7,-E904*$B$8)</x:f>
        <x:v>1290.5532</x:v>
      </x:c>
    </x:row>
    <x:row r="905">
      <x:c r="A905" t="n">
        <x:v>1932</x:v>
      </x:c>
      <x:c r="B905" t="str">
        <x:v>2024-09</x:v>
      </x:c>
      <x:c r="C905" t="str">
        <x:v>Salaried</x:v>
      </x:c>
      <x:c r="D905" t="str">
        <x:v>Group A</x:v>
      </x:c>
      <x:c r="E905" s="26" t="n">
        <x:v>31514.07</x:v>
      </x:c>
      <x:c r="F905" t="n">
        <x:v>1</x:v>
      </x:c>
      <x:c r="G905" s="25" t="n">
        <x:v>0.327032</x:v>
      </x:c>
      <x:c r="H905" t="n">
        <x:f>IF(G905&lt;$B$6,1,0)</x:f>
        <x:v>0</x:v>
      </x:c>
      <x:c r="I905" s="26" t="n">
        <x:f>H905*IF(F905=0,E905*$B$7,-E905*$B$8)</x:f>
        <x:v>0</x:v>
      </x:c>
    </x:row>
    <x:row r="906">
      <x:c r="A906" t="n">
        <x:v>1946</x:v>
      </x:c>
      <x:c r="B906" t="str">
        <x:v>2024-09</x:v>
      </x:c>
      <x:c r="C906" t="str">
        <x:v>Salaried</x:v>
      </x:c>
      <x:c r="D906" t="str">
        <x:v>Group B</x:v>
      </x:c>
      <x:c r="E906" s="26" t="n">
        <x:v>18380.25</x:v>
      </x:c>
      <x:c r="F906" t="n">
        <x:v>0</x:v>
      </x:c>
      <x:c r="G906" s="25" t="n">
        <x:v>0.147037</x:v>
      </x:c>
      <x:c r="H906" t="n">
        <x:f>IF(G906&lt;$B$6,1,0)</x:f>
        <x:v>1</x:v>
      </x:c>
      <x:c r="I906" s="26" t="n">
        <x:f>H906*IF(F906=0,E906*$B$7,-E906*$B$8)</x:f>
        <x:v>2205.63</x:v>
      </x:c>
    </x:row>
    <x:row r="907">
      <x:c r="A907" t="n">
        <x:v>1998</x:v>
      </x:c>
      <x:c r="B907" t="str">
        <x:v>2024-09</x:v>
      </x:c>
      <x:c r="C907" t="str">
        <x:v>Salaried</x:v>
      </x:c>
      <x:c r="D907" t="str">
        <x:v>Group B</x:v>
      </x:c>
      <x:c r="E907" s="26" t="n">
        <x:v>10180.86</x:v>
      </x:c>
      <x:c r="F907" t="n">
        <x:v>0</x:v>
      </x:c>
      <x:c r="G907" s="25" t="n">
        <x:v>0.066619</x:v>
      </x:c>
      <x:c r="H907" t="n">
        <x:f>IF(G907&lt;$B$6,1,0)</x:f>
        <x:v>1</x:v>
      </x:c>
      <x:c r="I907" s="26" t="n">
        <x:f>H907*IF(F907=0,E907*$B$7,-E907*$B$8)</x:f>
        <x:v>1221.7032</x:v>
      </x:c>
    </x:row>
    <x:row r="908">
      <x:c r="A908" t="n">
        <x:v>2003</x:v>
      </x:c>
      <x:c r="B908" t="str">
        <x:v>2024-09</x:v>
      </x:c>
      <x:c r="C908" t="str">
        <x:v>Salaried</x:v>
      </x:c>
      <x:c r="D908" t="str">
        <x:v>Group B</x:v>
      </x:c>
      <x:c r="E908" s="26" t="n">
        <x:v>13545.43</x:v>
      </x:c>
      <x:c r="F908" t="n">
        <x:v>0</x:v>
      </x:c>
      <x:c r="G908" s="25" t="n">
        <x:v>0.218823</x:v>
      </x:c>
      <x:c r="H908" t="n">
        <x:f>IF(G908&lt;$B$6,1,0)</x:f>
        <x:v>0</x:v>
      </x:c>
      <x:c r="I908" s="26" t="n">
        <x:f>H908*IF(F908=0,E908*$B$7,-E908*$B$8)</x:f>
        <x:v>0</x:v>
      </x:c>
    </x:row>
    <x:row r="909">
      <x:c r="A909" t="n">
        <x:v>2044</x:v>
      </x:c>
      <x:c r="B909" t="str">
        <x:v>2024-09</x:v>
      </x:c>
      <x:c r="C909" t="str">
        <x:v>Contract</x:v>
      </x:c>
      <x:c r="D909" t="str">
        <x:v>Group B</x:v>
      </x:c>
      <x:c r="E909" s="26" t="n">
        <x:v>20722.97</x:v>
      </x:c>
      <x:c r="F909" t="n">
        <x:v>1</x:v>
      </x:c>
      <x:c r="G909" s="25" t="n">
        <x:v>0.374031</x:v>
      </x:c>
      <x:c r="H909" t="n">
        <x:f>IF(G909&lt;$B$6,1,0)</x:f>
        <x:v>0</x:v>
      </x:c>
      <x:c r="I909" s="26" t="n">
        <x:f>H909*IF(F909=0,E909*$B$7,-E909*$B$8)</x:f>
        <x:v>0</x:v>
      </x:c>
    </x:row>
    <x:row r="910">
      <x:c r="A910" t="n">
        <x:v>2086</x:v>
      </x:c>
      <x:c r="B910" t="str">
        <x:v>2024-09</x:v>
      </x:c>
      <x:c r="C910" t="str">
        <x:v>Self employed</x:v>
      </x:c>
      <x:c r="D910" t="str">
        <x:v>Group A</x:v>
      </x:c>
      <x:c r="E910" s="26" t="n">
        <x:v>75000</x:v>
      </x:c>
      <x:c r="F910" t="n">
        <x:v>0</x:v>
      </x:c>
      <x:c r="G910" s="25" t="n">
        <x:v>0.338878</x:v>
      </x:c>
      <x:c r="H910" t="n">
        <x:f>IF(G910&lt;$B$6,1,0)</x:f>
        <x:v>0</x:v>
      </x:c>
      <x:c r="I910" s="26" t="n">
        <x:f>H910*IF(F910=0,E910*$B$7,-E910*$B$8)</x:f>
        <x:v>0</x:v>
      </x:c>
    </x:row>
    <x:row r="911">
      <x:c r="A911" t="n">
        <x:v>2121</x:v>
      </x:c>
      <x:c r="B911" t="str">
        <x:v>2024-09</x:v>
      </x:c>
      <x:c r="C911" t="str">
        <x:v>Self employed</x:v>
      </x:c>
      <x:c r="D911" t="str">
        <x:v>Group B</x:v>
      </x:c>
      <x:c r="E911" s="26" t="n">
        <x:v>9929.94</x:v>
      </x:c>
      <x:c r="F911" t="n">
        <x:v>0</x:v>
      </x:c>
      <x:c r="G911" s="25" t="n">
        <x:v>0.443087</x:v>
      </x:c>
      <x:c r="H911" t="n">
        <x:f>IF(G911&lt;$B$6,1,0)</x:f>
        <x:v>0</x:v>
      </x:c>
      <x:c r="I911" s="26" t="n">
        <x:f>H911*IF(F911=0,E911*$B$7,-E911*$B$8)</x:f>
        <x:v>0</x:v>
      </x:c>
    </x:row>
    <x:row r="912">
      <x:c r="A912" t="n">
        <x:v>2122</x:v>
      </x:c>
      <x:c r="B912" t="str">
        <x:v>2024-09</x:v>
      </x:c>
      <x:c r="C912" t="str">
        <x:v>Contract</x:v>
      </x:c>
      <x:c r="D912" t="str">
        <x:v>Group A</x:v>
      </x:c>
      <x:c r="E912" s="26" t="n">
        <x:v>5494.13</x:v>
      </x:c>
      <x:c r="F912" t="n">
        <x:v>0</x:v>
      </x:c>
      <x:c r="G912" s="25" t="n">
        <x:v>0.190966</x:v>
      </x:c>
      <x:c r="H912" t="n">
        <x:f>IF(G912&lt;$B$6,1,0)</x:f>
        <x:v>0</x:v>
      </x:c>
      <x:c r="I912" s="26" t="n">
        <x:f>H912*IF(F912=0,E912*$B$7,-E912*$B$8)</x:f>
        <x:v>0</x:v>
      </x:c>
    </x:row>
    <x:row r="913">
      <x:c r="A913" t="n">
        <x:v>2162</x:v>
      </x:c>
      <x:c r="B913" t="str">
        <x:v>2024-09</x:v>
      </x:c>
      <x:c r="C913" t="str">
        <x:v>Salaried</x:v>
      </x:c>
      <x:c r="D913" t="str">
        <x:v>Group A</x:v>
      </x:c>
      <x:c r="E913" s="26" t="n">
        <x:v>5057.79</x:v>
      </x:c>
      <x:c r="F913" t="n">
        <x:v>0</x:v>
      </x:c>
      <x:c r="G913" s="25" t="n">
        <x:v>0.228297</x:v>
      </x:c>
      <x:c r="H913" t="n">
        <x:f>IF(G913&lt;$B$6,1,0)</x:f>
        <x:v>0</x:v>
      </x:c>
      <x:c r="I913" s="26" t="n">
        <x:f>H913*IF(F913=0,E913*$B$7,-E913*$B$8)</x:f>
        <x:v>0</x:v>
      </x:c>
    </x:row>
    <x:row r="914">
      <x:c r="A914" t="n">
        <x:v>2214</x:v>
      </x:c>
      <x:c r="B914" t="str">
        <x:v>2024-09</x:v>
      </x:c>
      <x:c r="C914" t="str">
        <x:v>Self employed</x:v>
      </x:c>
      <x:c r="D914" t="str">
        <x:v>Group A</x:v>
      </x:c>
      <x:c r="E914" s="26" t="n">
        <x:v>9024.81</x:v>
      </x:c>
      <x:c r="F914" t="n">
        <x:v>0</x:v>
      </x:c>
      <x:c r="G914" s="25" t="n">
        <x:v>0.122223</x:v>
      </x:c>
      <x:c r="H914" t="n">
        <x:f>IF(G914&lt;$B$6,1,0)</x:f>
        <x:v>1</x:v>
      </x:c>
      <x:c r="I914" s="26" t="n">
        <x:f>H914*IF(F914=0,E914*$B$7,-E914*$B$8)</x:f>
        <x:v>1082.9771999999998</x:v>
      </x:c>
    </x:row>
    <x:row r="915">
      <x:c r="A915" t="n">
        <x:v>2304</x:v>
      </x:c>
      <x:c r="B915" t="str">
        <x:v>2024-09</x:v>
      </x:c>
      <x:c r="C915" t="str">
        <x:v>Salaried</x:v>
      </x:c>
      <x:c r="D915" t="str">
        <x:v>Group A</x:v>
      </x:c>
      <x:c r="E915" s="26" t="n">
        <x:v>12534.13</x:v>
      </x:c>
      <x:c r="F915" t="n">
        <x:v>0</x:v>
      </x:c>
      <x:c r="G915" s="25" t="n">
        <x:v>0.126715</x:v>
      </x:c>
      <x:c r="H915" t="n">
        <x:f>IF(G915&lt;$B$6,1,0)</x:f>
        <x:v>1</x:v>
      </x:c>
      <x:c r="I915" s="26" t="n">
        <x:f>H915*IF(F915=0,E915*$B$7,-E915*$B$8)</x:f>
        <x:v>1504.0955999999999</x:v>
      </x:c>
    </x:row>
    <x:row r="916">
      <x:c r="A916" t="n">
        <x:v>2313</x:v>
      </x:c>
      <x:c r="B916" t="str">
        <x:v>2024-09</x:v>
      </x:c>
      <x:c r="C916" t="str">
        <x:v>Salaried</x:v>
      </x:c>
      <x:c r="D916" t="str">
        <x:v>Group A</x:v>
      </x:c>
      <x:c r="E916" s="26" t="n">
        <x:v>9987.39</x:v>
      </x:c>
      <x:c r="F916" t="n">
        <x:v>0</x:v>
      </x:c>
      <x:c r="G916" s="25" t="n">
        <x:v>0.161295</x:v>
      </x:c>
      <x:c r="H916" t="n">
        <x:f>IF(G916&lt;$B$6,1,0)</x:f>
        <x:v>0</x:v>
      </x:c>
      <x:c r="I916" s="26" t="n">
        <x:f>H916*IF(F916=0,E916*$B$7,-E916*$B$8)</x:f>
        <x:v>0</x:v>
      </x:c>
    </x:row>
    <x:row r="917">
      <x:c r="A917" t="n">
        <x:v>2332</x:v>
      </x:c>
      <x:c r="B917" t="str">
        <x:v>2024-09</x:v>
      </x:c>
      <x:c r="C917" t="str">
        <x:v>Salaried</x:v>
      </x:c>
      <x:c r="D917" t="str">
        <x:v>Group A</x:v>
      </x:c>
      <x:c r="E917" s="26" t="n">
        <x:v>57052.14</x:v>
      </x:c>
      <x:c r="F917" t="n">
        <x:v>0</x:v>
      </x:c>
      <x:c r="G917" s="25" t="n">
        <x:v>0.140948</x:v>
      </x:c>
      <x:c r="H917" t="n">
        <x:f>IF(G917&lt;$B$6,1,0)</x:f>
        <x:v>1</x:v>
      </x:c>
      <x:c r="I917" s="26" t="n">
        <x:f>H917*IF(F917=0,E917*$B$7,-E917*$B$8)</x:f>
        <x:v>6846.2568</x:v>
      </x:c>
    </x:row>
    <x:row r="918">
      <x:c r="A918" t="n">
        <x:v>2342</x:v>
      </x:c>
      <x:c r="B918" t="str">
        <x:v>2024-09</x:v>
      </x:c>
      <x:c r="C918" t="str">
        <x:v>Salaried</x:v>
      </x:c>
      <x:c r="D918" t="str">
        <x:v>Group B</x:v>
      </x:c>
      <x:c r="E918" s="26" t="n">
        <x:v>5320.62</x:v>
      </x:c>
      <x:c r="F918" t="n">
        <x:v>0</x:v>
      </x:c>
      <x:c r="G918" s="25" t="n">
        <x:v>0.043301</x:v>
      </x:c>
      <x:c r="H918" t="n">
        <x:f>IF(G918&lt;$B$6,1,0)</x:f>
        <x:v>1</x:v>
      </x:c>
      <x:c r="I918" s="26" t="n">
        <x:f>H918*IF(F918=0,E918*$B$7,-E918*$B$8)</x:f>
        <x:v>638.4744</x:v>
      </x:c>
    </x:row>
    <x:row r="919">
      <x:c r="A919" t="n">
        <x:v>2422</x:v>
      </x:c>
      <x:c r="B919" t="str">
        <x:v>2024-09</x:v>
      </x:c>
      <x:c r="C919" t="str">
        <x:v>Salaried</x:v>
      </x:c>
      <x:c r="D919" t="str">
        <x:v>Group A</x:v>
      </x:c>
      <x:c r="E919" s="26" t="n">
        <x:v>21975.72</x:v>
      </x:c>
      <x:c r="F919" t="n">
        <x:v>0</x:v>
      </x:c>
      <x:c r="G919" s="25" t="n">
        <x:v>0.073594</x:v>
      </x:c>
      <x:c r="H919" t="n">
        <x:f>IF(G919&lt;$B$6,1,0)</x:f>
        <x:v>1</x:v>
      </x:c>
      <x:c r="I919" s="26" t="n">
        <x:f>H919*IF(F919=0,E919*$B$7,-E919*$B$8)</x:f>
        <x:v>2637.0864</x:v>
      </x:c>
    </x:row>
    <x:row r="920">
      <x:c r="A920" t="n">
        <x:v>2428</x:v>
      </x:c>
      <x:c r="B920" t="str">
        <x:v>2024-09</x:v>
      </x:c>
      <x:c r="C920" t="str">
        <x:v>Salaried</x:v>
      </x:c>
      <x:c r="D920" t="str">
        <x:v>Group B</x:v>
      </x:c>
      <x:c r="E920" s="26" t="n">
        <x:v>17156.91</x:v>
      </x:c>
      <x:c r="F920" t="n">
        <x:v>0</x:v>
      </x:c>
      <x:c r="G920" s="25" t="n">
        <x:v>0.24464</x:v>
      </x:c>
      <x:c r="H920" t="n">
        <x:f>IF(G920&lt;$B$6,1,0)</x:f>
        <x:v>0</x:v>
      </x:c>
      <x:c r="I920" s="26" t="n">
        <x:f>H920*IF(F920=0,E920*$B$7,-E920*$B$8)</x:f>
        <x:v>0</x:v>
      </x:c>
    </x:row>
    <x:row r="921">
      <x:c r="A921" t="n">
        <x:v>2464</x:v>
      </x:c>
      <x:c r="B921" t="str">
        <x:v>2024-09</x:v>
      </x:c>
      <x:c r="C921" t="str">
        <x:v>Salaried</x:v>
      </x:c>
      <x:c r="D921" t="str">
        <x:v>Group B</x:v>
      </x:c>
      <x:c r="E921" s="26" t="n">
        <x:v>47499.81</x:v>
      </x:c>
      <x:c r="F921" t="n">
        <x:v>1</x:v>
      </x:c>
      <x:c r="G921" s="25" t="n">
        <x:v>0.777598</x:v>
      </x:c>
      <x:c r="H921" t="n">
        <x:f>IF(G921&lt;$B$6,1,0)</x:f>
        <x:v>0</x:v>
      </x:c>
      <x:c r="I921" s="26" t="n">
        <x:f>H921*IF(F921=0,E921*$B$7,-E921*$B$8)</x:f>
        <x:v>0</x:v>
      </x:c>
    </x:row>
    <x:row r="922">
      <x:c r="A922" t="n">
        <x:v>2477</x:v>
      </x:c>
      <x:c r="B922" t="str">
        <x:v>2024-09</x:v>
      </x:c>
      <x:c r="C922" t="str">
        <x:v>Self employed</x:v>
      </x:c>
      <x:c r="D922" t="str">
        <x:v>Group B</x:v>
      </x:c>
      <x:c r="E922" s="26" t="n">
        <x:v>20719.64</x:v>
      </x:c>
      <x:c r="F922" t="n">
        <x:v>1</x:v>
      </x:c>
      <x:c r="G922" s="25" t="n">
        <x:v>0.125967</x:v>
      </x:c>
      <x:c r="H922" t="n">
        <x:f>IF(G922&lt;$B$6,1,0)</x:f>
        <x:v>1</x:v>
      </x:c>
      <x:c r="I922" s="26" t="n">
        <x:f>H922*IF(F922=0,E922*$B$7,-E922*$B$8)</x:f>
        <x:v>-13467.766</x:v>
      </x:c>
    </x:row>
    <x:row r="923">
      <x:c r="A923" t="n">
        <x:v>2514</x:v>
      </x:c>
      <x:c r="B923" t="str">
        <x:v>2024-09</x:v>
      </x:c>
      <x:c r="C923" t="str">
        <x:v>Salaried</x:v>
      </x:c>
      <x:c r="D923" t="str">
        <x:v>Group A</x:v>
      </x:c>
      <x:c r="E923" s="26" t="n">
        <x:v>12046.27</x:v>
      </x:c>
      <x:c r="F923" t="n">
        <x:v>0</x:v>
      </x:c>
      <x:c r="G923" s="25" t="n">
        <x:v>0.065144</x:v>
      </x:c>
      <x:c r="H923" t="n">
        <x:f>IF(G923&lt;$B$6,1,0)</x:f>
        <x:v>1</x:v>
      </x:c>
      <x:c r="I923" s="26" t="n">
        <x:f>H923*IF(F923=0,E923*$B$7,-E923*$B$8)</x:f>
        <x:v>1445.5524</x:v>
      </x:c>
    </x:row>
    <x:row r="924">
      <x:c r="A924" t="n">
        <x:v>2523</x:v>
      </x:c>
      <x:c r="B924" t="str">
        <x:v>2024-09</x:v>
      </x:c>
      <x:c r="C924" t="str">
        <x:v>Self employed</x:v>
      </x:c>
      <x:c r="D924" t="str">
        <x:v>Group B</x:v>
      </x:c>
      <x:c r="E924" s="26" t="n">
        <x:v>22534.07</x:v>
      </x:c>
      <x:c r="F924" t="n">
        <x:v>0</x:v>
      </x:c>
      <x:c r="G924" s="25" t="n">
        <x:v>0.135658</x:v>
      </x:c>
      <x:c r="H924" t="n">
        <x:f>IF(G924&lt;$B$6,1,0)</x:f>
        <x:v>1</x:v>
      </x:c>
      <x:c r="I924" s="26" t="n">
        <x:f>H924*IF(F924=0,E924*$B$7,-E924*$B$8)</x:f>
        <x:v>2704.0883999999996</x:v>
      </x:c>
    </x:row>
    <x:row r="925">
      <x:c r="A925" t="n">
        <x:v>2526</x:v>
      </x:c>
      <x:c r="B925" t="str">
        <x:v>2024-09</x:v>
      </x:c>
      <x:c r="C925" t="str">
        <x:v>Salaried</x:v>
      </x:c>
      <x:c r="D925" t="str">
        <x:v>Group B</x:v>
      </x:c>
      <x:c r="E925" s="26" t="n">
        <x:v>25662.07</x:v>
      </x:c>
      <x:c r="F925" t="n">
        <x:v>0</x:v>
      </x:c>
      <x:c r="G925" s="25" t="n">
        <x:v>0.160847</x:v>
      </x:c>
      <x:c r="H925" t="n">
        <x:f>IF(G925&lt;$B$6,1,0)</x:f>
        <x:v>0</x:v>
      </x:c>
      <x:c r="I925" s="26" t="n">
        <x:f>H925*IF(F925=0,E925*$B$7,-E925*$B$8)</x:f>
        <x:v>0</x:v>
      </x:c>
    </x:row>
    <x:row r="926">
      <x:c r="A926" t="n">
        <x:v>2529</x:v>
      </x:c>
      <x:c r="B926" t="str">
        <x:v>2024-09</x:v>
      </x:c>
      <x:c r="C926" t="str">
        <x:v>Salaried</x:v>
      </x:c>
      <x:c r="D926" t="str">
        <x:v>Group A</x:v>
      </x:c>
      <x:c r="E926" s="26" t="n">
        <x:v>10617.23</x:v>
      </x:c>
      <x:c r="F926" t="n">
        <x:v>0</x:v>
      </x:c>
      <x:c r="G926" s="25" t="n">
        <x:v>0.236614</x:v>
      </x:c>
      <x:c r="H926" t="n">
        <x:f>IF(G926&lt;$B$6,1,0)</x:f>
        <x:v>0</x:v>
      </x:c>
      <x:c r="I926" s="26" t="n">
        <x:f>H926*IF(F926=0,E926*$B$7,-E926*$B$8)</x:f>
        <x:v>0</x:v>
      </x:c>
    </x:row>
    <x:row r="927">
      <x:c r="A927" t="n">
        <x:v>2577</x:v>
      </x:c>
      <x:c r="B927" t="str">
        <x:v>2024-09</x:v>
      </x:c>
      <x:c r="C927" t="str">
        <x:v>Self employed</x:v>
      </x:c>
      <x:c r="D927" t="str">
        <x:v>Group A</x:v>
      </x:c>
      <x:c r="E927" s="26" t="n">
        <x:v>33473.99</x:v>
      </x:c>
      <x:c r="F927" t="n">
        <x:v>0</x:v>
      </x:c>
      <x:c r="G927" s="25" t="n">
        <x:v>0.105711</x:v>
      </x:c>
      <x:c r="H927" t="n">
        <x:f>IF(G927&lt;$B$6,1,0)</x:f>
        <x:v>1</x:v>
      </x:c>
      <x:c r="I927" s="26" t="n">
        <x:f>H927*IF(F927=0,E927*$B$7,-E927*$B$8)</x:f>
        <x:v>4016.8787999999995</x:v>
      </x:c>
    </x:row>
    <x:row r="928">
      <x:c r="A928" t="n">
        <x:v>2671</x:v>
      </x:c>
      <x:c r="B928" t="str">
        <x:v>2024-09</x:v>
      </x:c>
      <x:c r="C928" t="str">
        <x:v>Salaried</x:v>
      </x:c>
      <x:c r="D928" t="str">
        <x:v>Group B</x:v>
      </x:c>
      <x:c r="E928" s="26" t="n">
        <x:v>17346.9</x:v>
      </x:c>
      <x:c r="F928" t="n">
        <x:v>0</x:v>
      </x:c>
      <x:c r="G928" s="25" t="n">
        <x:v>0.168662</x:v>
      </x:c>
      <x:c r="H928" t="n">
        <x:f>IF(G928&lt;$B$6,1,0)</x:f>
        <x:v>0</x:v>
      </x:c>
      <x:c r="I928" s="26" t="n">
        <x:f>H928*IF(F928=0,E928*$B$7,-E928*$B$8)</x:f>
        <x:v>0</x:v>
      </x:c>
    </x:row>
    <x:row r="929">
      <x:c r="A929" t="n">
        <x:v>2676</x:v>
      </x:c>
      <x:c r="B929" t="str">
        <x:v>2024-09</x:v>
      </x:c>
      <x:c r="C929" t="str">
        <x:v>Self employed</x:v>
      </x:c>
      <x:c r="D929" t="str">
        <x:v>Group B</x:v>
      </x:c>
      <x:c r="E929" s="26" t="n">
        <x:v>75000</x:v>
      </x:c>
      <x:c r="F929" t="n">
        <x:v>0</x:v>
      </x:c>
      <x:c r="G929" s="25" t="n">
        <x:v>0.420369</x:v>
      </x:c>
      <x:c r="H929" t="n">
        <x:f>IF(G929&lt;$B$6,1,0)</x:f>
        <x:v>0</x:v>
      </x:c>
      <x:c r="I929" s="26" t="n">
        <x:f>H929*IF(F929=0,E929*$B$7,-E929*$B$8)</x:f>
        <x:v>0</x:v>
      </x:c>
    </x:row>
    <x:row r="930">
      <x:c r="A930" t="n">
        <x:v>2697</x:v>
      </x:c>
      <x:c r="B930" t="str">
        <x:v>2024-09</x:v>
      </x:c>
      <x:c r="C930" t="str">
        <x:v>Salaried</x:v>
      </x:c>
      <x:c r="D930" t="str">
        <x:v>Group B</x:v>
      </x:c>
      <x:c r="E930" s="26" t="n">
        <x:v>15130.28</x:v>
      </x:c>
      <x:c r="F930" t="n">
        <x:v>1</x:v>
      </x:c>
      <x:c r="G930" s="25" t="n">
        <x:v>0.120645</x:v>
      </x:c>
      <x:c r="H930" t="n">
        <x:f>IF(G930&lt;$B$6,1,0)</x:f>
        <x:v>1</x:v>
      </x:c>
      <x:c r="I930" s="26" t="n">
        <x:f>H930*IF(F930=0,E930*$B$7,-E930*$B$8)</x:f>
        <x:v>-9834.682</x:v>
      </x:c>
    </x:row>
    <x:row r="931">
      <x:c r="A931" t="n">
        <x:v>2706</x:v>
      </x:c>
      <x:c r="B931" t="str">
        <x:v>2024-09</x:v>
      </x:c>
      <x:c r="C931" t="str">
        <x:v>Salaried</x:v>
      </x:c>
      <x:c r="D931" t="str">
        <x:v>Group A</x:v>
      </x:c>
      <x:c r="E931" s="26" t="n">
        <x:v>8192.11</x:v>
      </x:c>
      <x:c r="F931" t="n">
        <x:v>1</x:v>
      </x:c>
      <x:c r="G931" s="25" t="n">
        <x:v>0.585895</x:v>
      </x:c>
      <x:c r="H931" t="n">
        <x:f>IF(G931&lt;$B$6,1,0)</x:f>
        <x:v>0</x:v>
      </x:c>
      <x:c r="I931" s="26" t="n">
        <x:f>H931*IF(F931=0,E931*$B$7,-E931*$B$8)</x:f>
        <x:v>0</x:v>
      </x:c>
    </x:row>
    <x:row r="932">
      <x:c r="A932" t="n">
        <x:v>2734</x:v>
      </x:c>
      <x:c r="B932" t="str">
        <x:v>2024-09</x:v>
      </x:c>
      <x:c r="C932" t="str">
        <x:v>Salaried</x:v>
      </x:c>
      <x:c r="D932" t="str">
        <x:v>Group B</x:v>
      </x:c>
      <x:c r="E932" s="26" t="n">
        <x:v>10601.38</x:v>
      </x:c>
      <x:c r="F932" t="n">
        <x:v>0</x:v>
      </x:c>
      <x:c r="G932" s="25" t="n">
        <x:v>0.028432</x:v>
      </x:c>
      <x:c r="H932" t="n">
        <x:f>IF(G932&lt;$B$6,1,0)</x:f>
        <x:v>1</x:v>
      </x:c>
      <x:c r="I932" s="26" t="n">
        <x:f>H932*IF(F932=0,E932*$B$7,-E932*$B$8)</x:f>
        <x:v>1272.1655999999998</x:v>
      </x:c>
    </x:row>
    <x:row r="933">
      <x:c r="A933" t="n">
        <x:v>2822</x:v>
      </x:c>
      <x:c r="B933" t="str">
        <x:v>2024-09</x:v>
      </x:c>
      <x:c r="C933" t="str">
        <x:v>Contract</x:v>
      </x:c>
      <x:c r="D933" t="str">
        <x:v>Group A</x:v>
      </x:c>
      <x:c r="E933" s="26" t="n">
        <x:v>25562.73</x:v>
      </x:c>
      <x:c r="F933" t="n">
        <x:v>0</x:v>
      </x:c>
      <x:c r="G933" s="25" t="n">
        <x:v>0.030918</x:v>
      </x:c>
      <x:c r="H933" t="n">
        <x:f>IF(G933&lt;$B$6,1,0)</x:f>
        <x:v>1</x:v>
      </x:c>
      <x:c r="I933" s="26" t="n">
        <x:f>H933*IF(F933=0,E933*$B$7,-E933*$B$8)</x:f>
        <x:v>3067.5276</x:v>
      </x:c>
    </x:row>
    <x:row r="934">
      <x:c r="A934" t="n">
        <x:v>2859</x:v>
      </x:c>
      <x:c r="B934" t="str">
        <x:v>2024-09</x:v>
      </x:c>
      <x:c r="C934" t="str">
        <x:v>Self employed</x:v>
      </x:c>
      <x:c r="D934" t="str">
        <x:v>Group B</x:v>
      </x:c>
      <x:c r="E934" s="26" t="n">
        <x:v>43538.36</x:v>
      </x:c>
      <x:c r="F934" t="n">
        <x:v>1</x:v>
      </x:c>
      <x:c r="G934" s="25" t="n">
        <x:v>0.613582</x:v>
      </x:c>
      <x:c r="H934" t="n">
        <x:f>IF(G934&lt;$B$6,1,0)</x:f>
        <x:v>0</x:v>
      </x:c>
      <x:c r="I934" s="26" t="n">
        <x:f>H934*IF(F934=0,E934*$B$7,-E934*$B$8)</x:f>
        <x:v>0</x:v>
      </x:c>
    </x:row>
    <x:row r="935">
      <x:c r="A935" t="n">
        <x:v>2861</x:v>
      </x:c>
      <x:c r="B935" t="str">
        <x:v>2024-09</x:v>
      </x:c>
      <x:c r="C935" t="str">
        <x:v>Salaried</x:v>
      </x:c>
      <x:c r="D935" t="str">
        <x:v>Group A</x:v>
      </x:c>
      <x:c r="E935" s="26" t="n">
        <x:v>26516.03</x:v>
      </x:c>
      <x:c r="F935" t="n">
        <x:v>0</x:v>
      </x:c>
      <x:c r="G935" s="25" t="n">
        <x:v>0.206929</x:v>
      </x:c>
      <x:c r="H935" t="n">
        <x:f>IF(G935&lt;$B$6,1,0)</x:f>
        <x:v>0</x:v>
      </x:c>
      <x:c r="I935" s="26" t="n">
        <x:f>H935*IF(F935=0,E935*$B$7,-E935*$B$8)</x:f>
        <x:v>0</x:v>
      </x:c>
    </x:row>
    <x:row r="936">
      <x:c r="A936" t="n">
        <x:v>2874</x:v>
      </x:c>
      <x:c r="B936" t="str">
        <x:v>2024-09</x:v>
      </x:c>
      <x:c r="C936" t="str">
        <x:v>Salaried</x:v>
      </x:c>
      <x:c r="D936" t="str">
        <x:v>Group B</x:v>
      </x:c>
      <x:c r="E936" s="26" t="n">
        <x:v>21686.89</x:v>
      </x:c>
      <x:c r="F936" t="n">
        <x:v>0</x:v>
      </x:c>
      <x:c r="G936" s="25" t="n">
        <x:v>0.060056</x:v>
      </x:c>
      <x:c r="H936" t="n">
        <x:f>IF(G936&lt;$B$6,1,0)</x:f>
        <x:v>1</x:v>
      </x:c>
      <x:c r="I936" s="26" t="n">
        <x:f>H936*IF(F936=0,E936*$B$7,-E936*$B$8)</x:f>
        <x:v>2602.4267999999997</x:v>
      </x:c>
    </x:row>
    <x:row r="937">
      <x:c r="A937" t="n">
        <x:v>2881</x:v>
      </x:c>
      <x:c r="B937" t="str">
        <x:v>2024-09</x:v>
      </x:c>
      <x:c r="C937" t="str">
        <x:v>Salaried</x:v>
      </x:c>
      <x:c r="D937" t="str">
        <x:v>Group A</x:v>
      </x:c>
      <x:c r="E937" s="26" t="n">
        <x:v>12127.28</x:v>
      </x:c>
      <x:c r="F937" t="n">
        <x:v>0</x:v>
      </x:c>
      <x:c r="G937" s="25" t="n">
        <x:v>0.083536</x:v>
      </x:c>
      <x:c r="H937" t="n">
        <x:f>IF(G937&lt;$B$6,1,0)</x:f>
        <x:v>1</x:v>
      </x:c>
      <x:c r="I937" s="26" t="n">
        <x:f>H937*IF(F937=0,E937*$B$7,-E937*$B$8)</x:f>
        <x:v>1455.2736</x:v>
      </x:c>
    </x:row>
    <x:row r="938">
      <x:c r="A938" t="n">
        <x:v>2908</x:v>
      </x:c>
      <x:c r="B938" t="str">
        <x:v>2024-09</x:v>
      </x:c>
      <x:c r="C938" t="str">
        <x:v>Contract</x:v>
      </x:c>
      <x:c r="D938" t="str">
        <x:v>Group A</x:v>
      </x:c>
      <x:c r="E938" s="26" t="n">
        <x:v>5393.14</x:v>
      </x:c>
      <x:c r="F938" t="n">
        <x:v>0</x:v>
      </x:c>
      <x:c r="G938" s="25" t="n">
        <x:v>0.087707</x:v>
      </x:c>
      <x:c r="H938" t="n">
        <x:f>IF(G938&lt;$B$6,1,0)</x:f>
        <x:v>1</x:v>
      </x:c>
      <x:c r="I938" s="26" t="n">
        <x:f>H938*IF(F938=0,E938*$B$7,-E938*$B$8)</x:f>
        <x:v>647.1768000000001</x:v>
      </x:c>
    </x:row>
    <x:row r="939">
      <x:c r="A939" t="n">
        <x:v>2945</x:v>
      </x:c>
      <x:c r="B939" t="str">
        <x:v>2024-09</x:v>
      </x:c>
      <x:c r="C939" t="str">
        <x:v>Self employed</x:v>
      </x:c>
      <x:c r="D939" t="str">
        <x:v>Group A</x:v>
      </x:c>
      <x:c r="E939" s="26" t="n">
        <x:v>14181.56</x:v>
      </x:c>
      <x:c r="F939" t="n">
        <x:v>1</x:v>
      </x:c>
      <x:c r="G939" s="25" t="n">
        <x:v>0.448941</x:v>
      </x:c>
      <x:c r="H939" t="n">
        <x:f>IF(G939&lt;$B$6,1,0)</x:f>
        <x:v>0</x:v>
      </x:c>
      <x:c r="I939" s="26" t="n">
        <x:f>H939*IF(F939=0,E939*$B$7,-E939*$B$8)</x:f>
        <x:v>0</x:v>
      </x:c>
    </x:row>
    <x:row r="940">
      <x:c r="A940" t="n">
        <x:v>2975</x:v>
      </x:c>
      <x:c r="B940" t="str">
        <x:v>2024-09</x:v>
      </x:c>
      <x:c r="C940" t="str">
        <x:v>Salaried</x:v>
      </x:c>
      <x:c r="D940" t="str">
        <x:v>Group A</x:v>
      </x:c>
      <x:c r="E940" s="26" t="n">
        <x:v>44367.83</x:v>
      </x:c>
      <x:c r="F940" t="n">
        <x:v>0</x:v>
      </x:c>
      <x:c r="G940" s="25" t="n">
        <x:v>0.126916</x:v>
      </x:c>
      <x:c r="H940" t="n">
        <x:f>IF(G940&lt;$B$6,1,0)</x:f>
        <x:v>1</x:v>
      </x:c>
      <x:c r="I940" s="26" t="n">
        <x:f>H940*IF(F940=0,E940*$B$7,-E940*$B$8)</x:f>
        <x:v>5324.1396</x:v>
      </x:c>
    </x:row>
    <x:row r="941">
      <x:c r="A941" t="n">
        <x:v>2977</x:v>
      </x:c>
      <x:c r="B941" t="str">
        <x:v>2024-09</x:v>
      </x:c>
      <x:c r="C941" t="str">
        <x:v>Salaried</x:v>
      </x:c>
      <x:c r="D941" t="str">
        <x:v>Group B</x:v>
      </x:c>
      <x:c r="E941" s="26" t="n">
        <x:v>24088.8</x:v>
      </x:c>
      <x:c r="F941" t="n">
        <x:v>1</x:v>
      </x:c>
      <x:c r="G941" s="25" t="n">
        <x:v>0.387707</x:v>
      </x:c>
      <x:c r="H941" t="n">
        <x:f>IF(G941&lt;$B$6,1,0)</x:f>
        <x:v>0</x:v>
      </x:c>
      <x:c r="I941" s="26" t="n">
        <x:f>H941*IF(F941=0,E941*$B$7,-E941*$B$8)</x:f>
        <x:v>0</x:v>
      </x:c>
    </x:row>
    <x:row r="942">
      <x:c r="A942" t="n">
        <x:v>2981</x:v>
      </x:c>
      <x:c r="B942" t="str">
        <x:v>2024-09</x:v>
      </x:c>
      <x:c r="C942" t="str">
        <x:v>Salaried</x:v>
      </x:c>
      <x:c r="D942" t="str">
        <x:v>Group A</x:v>
      </x:c>
      <x:c r="E942" s="26" t="n">
        <x:v>13481.74</x:v>
      </x:c>
      <x:c r="F942" t="n">
        <x:v>0</x:v>
      </x:c>
      <x:c r="G942" s="25" t="n">
        <x:v>0.088104</x:v>
      </x:c>
      <x:c r="H942" t="n">
        <x:f>IF(G942&lt;$B$6,1,0)</x:f>
        <x:v>1</x:v>
      </x:c>
      <x:c r="I942" s="26" t="n">
        <x:f>H942*IF(F942=0,E942*$B$7,-E942*$B$8)</x:f>
        <x:v>1617.8088</x:v>
      </x:c>
    </x:row>
    <x:row r="943">
      <x:c r="A943" t="n">
        <x:v>3032</x:v>
      </x:c>
      <x:c r="B943" t="str">
        <x:v>2024-09</x:v>
      </x:c>
      <x:c r="C943" t="str">
        <x:v>Salaried</x:v>
      </x:c>
      <x:c r="D943" t="str">
        <x:v>Group B</x:v>
      </x:c>
      <x:c r="E943" s="26" t="n">
        <x:v>11390.03</x:v>
      </x:c>
      <x:c r="F943" t="n">
        <x:v>0</x:v>
      </x:c>
      <x:c r="G943" s="25" t="n">
        <x:v>0.419963</x:v>
      </x:c>
      <x:c r="H943" t="n">
        <x:f>IF(G943&lt;$B$6,1,0)</x:f>
        <x:v>0</x:v>
      </x:c>
      <x:c r="I943" s="26" t="n">
        <x:f>H943*IF(F943=0,E943*$B$7,-E943*$B$8)</x:f>
        <x:v>0</x:v>
      </x:c>
    </x:row>
    <x:row r="944">
      <x:c r="A944" t="n">
        <x:v>3073</x:v>
      </x:c>
      <x:c r="B944" t="str">
        <x:v>2024-09</x:v>
      </x:c>
      <x:c r="C944" t="str">
        <x:v>Salaried</x:v>
      </x:c>
      <x:c r="D944" t="str">
        <x:v>Group B</x:v>
      </x:c>
      <x:c r="E944" s="26" t="n">
        <x:v>8436.78</x:v>
      </x:c>
      <x:c r="F944" t="n">
        <x:v>0</x:v>
      </x:c>
      <x:c r="G944" s="25" t="n">
        <x:v>0.05552</x:v>
      </x:c>
      <x:c r="H944" t="n">
        <x:f>IF(G944&lt;$B$6,1,0)</x:f>
        <x:v>1</x:v>
      </x:c>
      <x:c r="I944" s="26" t="n">
        <x:f>H944*IF(F944=0,E944*$B$7,-E944*$B$8)</x:f>
        <x:v>1012.4136000000001</x:v>
      </x:c>
    </x:row>
    <x:row r="945">
      <x:c r="A945" t="n">
        <x:v>3080</x:v>
      </x:c>
      <x:c r="B945" t="str">
        <x:v>2024-09</x:v>
      </x:c>
      <x:c r="C945" t="str">
        <x:v>Contract</x:v>
      </x:c>
      <x:c r="D945" t="str">
        <x:v>Group B</x:v>
      </x:c>
      <x:c r="E945" s="26" t="n">
        <x:v>26075.37</x:v>
      </x:c>
      <x:c r="F945" t="n">
        <x:v>0</x:v>
      </x:c>
      <x:c r="G945" s="25" t="n">
        <x:v>0.33362</x:v>
      </x:c>
      <x:c r="H945" t="n">
        <x:f>IF(G945&lt;$B$6,1,0)</x:f>
        <x:v>0</x:v>
      </x:c>
      <x:c r="I945" s="26" t="n">
        <x:f>H945*IF(F945=0,E945*$B$7,-E945*$B$8)</x:f>
        <x:v>0</x:v>
      </x:c>
    </x:row>
    <x:row r="946">
      <x:c r="A946" t="n">
        <x:v>3097</x:v>
      </x:c>
      <x:c r="B946" t="str">
        <x:v>2024-09</x:v>
      </x:c>
      <x:c r="C946" t="str">
        <x:v>Self employed</x:v>
      </x:c>
      <x:c r="D946" t="str">
        <x:v>Group A</x:v>
      </x:c>
      <x:c r="E946" s="26" t="n">
        <x:v>9400.99</x:v>
      </x:c>
      <x:c r="F946" t="n">
        <x:v>0</x:v>
      </x:c>
      <x:c r="G946" s="25" t="n">
        <x:v>0.14428</x:v>
      </x:c>
      <x:c r="H946" t="n">
        <x:f>IF(G946&lt;$B$6,1,0)</x:f>
        <x:v>1</x:v>
      </x:c>
      <x:c r="I946" s="26" t="n">
        <x:f>H946*IF(F946=0,E946*$B$7,-E946*$B$8)</x:f>
        <x:v>1128.1188</x:v>
      </x:c>
    </x:row>
    <x:row r="947">
      <x:c r="A947" t="n">
        <x:v>3101</x:v>
      </x:c>
      <x:c r="B947" t="str">
        <x:v>2024-09</x:v>
      </x:c>
      <x:c r="C947" t="str">
        <x:v>Salaried</x:v>
      </x:c>
      <x:c r="D947" t="str">
        <x:v>Group A</x:v>
      </x:c>
      <x:c r="E947" s="26" t="n">
        <x:v>13107.47</x:v>
      </x:c>
      <x:c r="F947" t="n">
        <x:v>1</x:v>
      </x:c>
      <x:c r="G947" s="25" t="n">
        <x:v>0.246477</x:v>
      </x:c>
      <x:c r="H947" t="n">
        <x:f>IF(G947&lt;$B$6,1,0)</x:f>
        <x:v>0</x:v>
      </x:c>
      <x:c r="I947" s="26" t="n">
        <x:f>H947*IF(F947=0,E947*$B$7,-E947*$B$8)</x:f>
        <x:v>0</x:v>
      </x:c>
    </x:row>
    <x:row r="948">
      <x:c r="A948" t="n">
        <x:v>3130</x:v>
      </x:c>
      <x:c r="B948" t="str">
        <x:v>2024-09</x:v>
      </x:c>
      <x:c r="C948" t="str">
        <x:v>Salaried</x:v>
      </x:c>
      <x:c r="D948" t="str">
        <x:v>Group A</x:v>
      </x:c>
      <x:c r="E948" s="26" t="n">
        <x:v>61700.52</x:v>
      </x:c>
      <x:c r="F948" t="n">
        <x:v>1</x:v>
      </x:c>
      <x:c r="G948" s="25" t="n">
        <x:v>0.247833</x:v>
      </x:c>
      <x:c r="H948" t="n">
        <x:f>IF(G948&lt;$B$6,1,0)</x:f>
        <x:v>0</x:v>
      </x:c>
      <x:c r="I948" s="26" t="n">
        <x:f>H948*IF(F948=0,E948*$B$7,-E948*$B$8)</x:f>
        <x:v>0</x:v>
      </x:c>
    </x:row>
    <x:row r="949">
      <x:c r="A949" t="n">
        <x:v>3187</x:v>
      </x:c>
      <x:c r="B949" t="str">
        <x:v>2024-09</x:v>
      </x:c>
      <x:c r="C949" t="str">
        <x:v>Salaried</x:v>
      </x:c>
      <x:c r="D949" t="str">
        <x:v>Group A</x:v>
      </x:c>
      <x:c r="E949" s="26" t="n">
        <x:v>8033.74</x:v>
      </x:c>
      <x:c r="F949" t="n">
        <x:v>1</x:v>
      </x:c>
      <x:c r="G949" s="25" t="n">
        <x:v>0.093257</x:v>
      </x:c>
      <x:c r="H949" t="n">
        <x:f>IF(G949&lt;$B$6,1,0)</x:f>
        <x:v>1</x:v>
      </x:c>
      <x:c r="I949" s="26" t="n">
        <x:f>H949*IF(F949=0,E949*$B$7,-E949*$B$8)</x:f>
        <x:v>-5221.931</x:v>
      </x:c>
    </x:row>
    <x:row r="950">
      <x:c r="A950" t="n">
        <x:v>3236</x:v>
      </x:c>
      <x:c r="B950" t="str">
        <x:v>2024-09</x:v>
      </x:c>
      <x:c r="C950" t="str">
        <x:v>Self employed</x:v>
      </x:c>
      <x:c r="D950" t="str">
        <x:v>Group B</x:v>
      </x:c>
      <x:c r="E950" s="26" t="n">
        <x:v>10078.87</x:v>
      </x:c>
      <x:c r="F950" t="n">
        <x:v>0</x:v>
      </x:c>
      <x:c r="G950" s="25" t="n">
        <x:v>0.070757</x:v>
      </x:c>
      <x:c r="H950" t="n">
        <x:f>IF(G950&lt;$B$6,1,0)</x:f>
        <x:v>1</x:v>
      </x:c>
      <x:c r="I950" s="26" t="n">
        <x:f>H950*IF(F950=0,E950*$B$7,-E950*$B$8)</x:f>
        <x:v>1209.4644</x:v>
      </x:c>
    </x:row>
    <x:row r="951">
      <x:c r="A951" t="n">
        <x:v>3237</x:v>
      </x:c>
      <x:c r="B951" t="str">
        <x:v>2024-09</x:v>
      </x:c>
      <x:c r="C951" t="str">
        <x:v>Salaried</x:v>
      </x:c>
      <x:c r="D951" t="str">
        <x:v>Group A</x:v>
      </x:c>
      <x:c r="E951" s="26" t="n">
        <x:v>32319.83</x:v>
      </x:c>
      <x:c r="F951" t="n">
        <x:v>0</x:v>
      </x:c>
      <x:c r="G951" s="25" t="n">
        <x:v>0.133456</x:v>
      </x:c>
      <x:c r="H951" t="n">
        <x:f>IF(G951&lt;$B$6,1,0)</x:f>
        <x:v>1</x:v>
      </x:c>
      <x:c r="I951" s="26" t="n">
        <x:f>H951*IF(F951=0,E951*$B$7,-E951*$B$8)</x:f>
        <x:v>3878.3796</x:v>
      </x:c>
    </x:row>
    <x:row r="952">
      <x:c r="A952" t="n">
        <x:v>3243</x:v>
      </x:c>
      <x:c r="B952" t="str">
        <x:v>2024-09</x:v>
      </x:c>
      <x:c r="C952" t="str">
        <x:v>Salaried</x:v>
      </x:c>
      <x:c r="D952" t="str">
        <x:v>Group B</x:v>
      </x:c>
      <x:c r="E952" s="26" t="n">
        <x:v>42325.54</x:v>
      </x:c>
      <x:c r="F952" t="n">
        <x:v>0</x:v>
      </x:c>
      <x:c r="G952" s="25" t="n">
        <x:v>0.318524</x:v>
      </x:c>
      <x:c r="H952" t="n">
        <x:f>IF(G952&lt;$B$6,1,0)</x:f>
        <x:v>0</x:v>
      </x:c>
      <x:c r="I952" s="26" t="n">
        <x:f>H952*IF(F952=0,E952*$B$7,-E952*$B$8)</x:f>
        <x:v>0</x:v>
      </x:c>
    </x:row>
    <x:row r="953">
      <x:c r="A953" t="n">
        <x:v>3291</x:v>
      </x:c>
      <x:c r="B953" t="str">
        <x:v>2024-09</x:v>
      </x:c>
      <x:c r="C953" t="str">
        <x:v>Salaried</x:v>
      </x:c>
      <x:c r="D953" t="str">
        <x:v>Group A</x:v>
      </x:c>
      <x:c r="E953" s="26" t="n">
        <x:v>70914.24</x:v>
      </x:c>
      <x:c r="F953" t="n">
        <x:v>0</x:v>
      </x:c>
      <x:c r="G953" s="25" t="n">
        <x:v>0.210047</x:v>
      </x:c>
      <x:c r="H953" t="n">
        <x:f>IF(G953&lt;$B$6,1,0)</x:f>
        <x:v>0</x:v>
      </x:c>
      <x:c r="I953" s="26" t="n">
        <x:f>H953*IF(F953=0,E953*$B$7,-E953*$B$8)</x:f>
        <x:v>0</x:v>
      </x:c>
    </x:row>
    <x:row r="954">
      <x:c r="A954" t="n">
        <x:v>3333</x:v>
      </x:c>
      <x:c r="B954" t="str">
        <x:v>2024-09</x:v>
      </x:c>
      <x:c r="C954" t="str">
        <x:v>Salaried</x:v>
      </x:c>
      <x:c r="D954" t="str">
        <x:v>Group B</x:v>
      </x:c>
      <x:c r="E954" s="26" t="n">
        <x:v>10443.68</x:v>
      </x:c>
      <x:c r="F954" t="n">
        <x:v>0</x:v>
      </x:c>
      <x:c r="G954" s="25" t="n">
        <x:v>0.103273</x:v>
      </x:c>
      <x:c r="H954" t="n">
        <x:f>IF(G954&lt;$B$6,1,0)</x:f>
        <x:v>1</x:v>
      </x:c>
      <x:c r="I954" s="26" t="n">
        <x:f>H954*IF(F954=0,E954*$B$7,-E954*$B$8)</x:f>
        <x:v>1253.2416</x:v>
      </x:c>
    </x:row>
    <x:row r="955">
      <x:c r="A955" t="n">
        <x:v>3348</x:v>
      </x:c>
      <x:c r="B955" t="str">
        <x:v>2024-09</x:v>
      </x:c>
      <x:c r="C955" t="str">
        <x:v>Self employed</x:v>
      </x:c>
      <x:c r="D955" t="str">
        <x:v>Group A</x:v>
      </x:c>
      <x:c r="E955" s="26" t="n">
        <x:v>6073.76</x:v>
      </x:c>
      <x:c r="F955" t="n">
        <x:v>0</x:v>
      </x:c>
      <x:c r="G955" s="25" t="n">
        <x:v>0.158865</x:v>
      </x:c>
      <x:c r="H955" t="n">
        <x:f>IF(G955&lt;$B$6,1,0)</x:f>
        <x:v>1</x:v>
      </x:c>
      <x:c r="I955" s="26" t="n">
        <x:f>H955*IF(F955=0,E955*$B$7,-E955*$B$8)</x:f>
        <x:v>728.8512</x:v>
      </x:c>
    </x:row>
    <x:row r="956">
      <x:c r="A956" t="n">
        <x:v>3368</x:v>
      </x:c>
      <x:c r="B956" t="str">
        <x:v>2024-09</x:v>
      </x:c>
      <x:c r="C956" t="str">
        <x:v>Contract</x:v>
      </x:c>
      <x:c r="D956" t="str">
        <x:v>Group B</x:v>
      </x:c>
      <x:c r="E956" s="26" t="n">
        <x:v>22367.21</x:v>
      </x:c>
      <x:c r="F956" t="n">
        <x:v>1</x:v>
      </x:c>
      <x:c r="G956" s="25" t="n">
        <x:v>0.234812</x:v>
      </x:c>
      <x:c r="H956" t="n">
        <x:f>IF(G956&lt;$B$6,1,0)</x:f>
        <x:v>0</x:v>
      </x:c>
      <x:c r="I956" s="26" t="n">
        <x:f>H956*IF(F956=0,E956*$B$7,-E956*$B$8)</x:f>
        <x:v>0</x:v>
      </x:c>
    </x:row>
    <x:row r="957">
      <x:c r="A957" t="n">
        <x:v>3371</x:v>
      </x:c>
      <x:c r="B957" t="str">
        <x:v>2024-09</x:v>
      </x:c>
      <x:c r="C957" t="str">
        <x:v>Salaried</x:v>
      </x:c>
      <x:c r="D957" t="str">
        <x:v>Group A</x:v>
      </x:c>
      <x:c r="E957" s="26" t="n">
        <x:v>18345.28</x:v>
      </x:c>
      <x:c r="F957" t="n">
        <x:v>0</x:v>
      </x:c>
      <x:c r="G957" s="25" t="n">
        <x:v>0.039289</x:v>
      </x:c>
      <x:c r="H957" t="n">
        <x:f>IF(G957&lt;$B$6,1,0)</x:f>
        <x:v>1</x:v>
      </x:c>
      <x:c r="I957" s="26" t="n">
        <x:f>H957*IF(F957=0,E957*$B$7,-E957*$B$8)</x:f>
        <x:v>2201.4336</x:v>
      </x:c>
    </x:row>
    <x:row r="958">
      <x:c r="A958" t="n">
        <x:v>3421</x:v>
      </x:c>
      <x:c r="B958" t="str">
        <x:v>2024-09</x:v>
      </x:c>
      <x:c r="C958" t="str">
        <x:v>Contract</x:v>
      </x:c>
      <x:c r="D958" t="str">
        <x:v>Group A</x:v>
      </x:c>
      <x:c r="E958" s="26" t="n">
        <x:v>27564.13</x:v>
      </x:c>
      <x:c r="F958" t="n">
        <x:v>1</x:v>
      </x:c>
      <x:c r="G958" s="25" t="n">
        <x:v>0.327755</x:v>
      </x:c>
      <x:c r="H958" t="n">
        <x:f>IF(G958&lt;$B$6,1,0)</x:f>
        <x:v>0</x:v>
      </x:c>
      <x:c r="I958" s="26" t="n">
        <x:f>H958*IF(F958=0,E958*$B$7,-E958*$B$8)</x:f>
        <x:v>0</x:v>
      </x:c>
    </x:row>
    <x:row r="959">
      <x:c r="A959" t="n">
        <x:v>3422</x:v>
      </x:c>
      <x:c r="B959" t="str">
        <x:v>2024-09</x:v>
      </x:c>
      <x:c r="C959" t="str">
        <x:v>Salaried</x:v>
      </x:c>
      <x:c r="D959" t="str">
        <x:v>Group A</x:v>
      </x:c>
      <x:c r="E959" s="26" t="n">
        <x:v>38168.52</x:v>
      </x:c>
      <x:c r="F959" t="n">
        <x:v>0</x:v>
      </x:c>
      <x:c r="G959" s="25" t="n">
        <x:v>0.384417</x:v>
      </x:c>
      <x:c r="H959" t="n">
        <x:f>IF(G959&lt;$B$6,1,0)</x:f>
        <x:v>0</x:v>
      </x:c>
      <x:c r="I959" s="26" t="n">
        <x:f>H959*IF(F959=0,E959*$B$7,-E959*$B$8)</x:f>
        <x:v>0</x:v>
      </x:c>
    </x:row>
    <x:row r="960">
      <x:c r="A960" t="n">
        <x:v>3437</x:v>
      </x:c>
      <x:c r="B960" t="str">
        <x:v>2024-09</x:v>
      </x:c>
      <x:c r="C960" t="str">
        <x:v>Salaried</x:v>
      </x:c>
      <x:c r="D960" t="str">
        <x:v>Group A</x:v>
      </x:c>
      <x:c r="E960" s="26" t="n">
        <x:v>8320.48</x:v>
      </x:c>
      <x:c r="F960" t="n">
        <x:v>0</x:v>
      </x:c>
      <x:c r="G960" s="25" t="n">
        <x:v>0.142795</x:v>
      </x:c>
      <x:c r="H960" t="n">
        <x:f>IF(G960&lt;$B$6,1,0)</x:f>
        <x:v>1</x:v>
      </x:c>
      <x:c r="I960" s="26" t="n">
        <x:f>H960*IF(F960=0,E960*$B$7,-E960*$B$8)</x:f>
        <x:v>998.4576</x:v>
      </x:c>
    </x:row>
    <x:row r="961">
      <x:c r="A961" t="n">
        <x:v>3511</x:v>
      </x:c>
      <x:c r="B961" t="str">
        <x:v>2024-09</x:v>
      </x:c>
      <x:c r="C961" t="str">
        <x:v>Self employed</x:v>
      </x:c>
      <x:c r="D961" t="str">
        <x:v>Group B</x:v>
      </x:c>
      <x:c r="E961" s="26" t="n">
        <x:v>18965.23</x:v>
      </x:c>
      <x:c r="F961" t="n">
        <x:v>0</x:v>
      </x:c>
      <x:c r="G961" s="25" t="n">
        <x:v>0.180039</x:v>
      </x:c>
      <x:c r="H961" t="n">
        <x:f>IF(G961&lt;$B$6,1,0)</x:f>
        <x:v>0</x:v>
      </x:c>
      <x:c r="I961" s="26" t="n">
        <x:f>H961*IF(F961=0,E961*$B$7,-E961*$B$8)</x:f>
        <x:v>0</x:v>
      </x:c>
    </x:row>
    <x:row r="962">
      <x:c r="A962" t="n">
        <x:v>3514</x:v>
      </x:c>
      <x:c r="B962" t="str">
        <x:v>2024-09</x:v>
      </x:c>
      <x:c r="C962" t="str">
        <x:v>Salaried</x:v>
      </x:c>
      <x:c r="D962" t="str">
        <x:v>Group B</x:v>
      </x:c>
      <x:c r="E962" s="26" t="n">
        <x:v>4542.04</x:v>
      </x:c>
      <x:c r="F962" t="n">
        <x:v>1</x:v>
      </x:c>
      <x:c r="G962" s="25" t="n">
        <x:v>0.249092</x:v>
      </x:c>
      <x:c r="H962" t="n">
        <x:f>IF(G962&lt;$B$6,1,0)</x:f>
        <x:v>0</x:v>
      </x:c>
      <x:c r="I962" s="26" t="n">
        <x:f>H962*IF(F962=0,E962*$B$7,-E962*$B$8)</x:f>
        <x:v>0</x:v>
      </x:c>
    </x:row>
    <x:row r="963">
      <x:c r="A963" t="n">
        <x:v>3537</x:v>
      </x:c>
      <x:c r="B963" t="str">
        <x:v>2024-09</x:v>
      </x:c>
      <x:c r="C963" t="str">
        <x:v>Salaried</x:v>
      </x:c>
      <x:c r="D963" t="str">
        <x:v>Group A</x:v>
      </x:c>
      <x:c r="E963" s="26" t="n">
        <x:v>20628.25</x:v>
      </x:c>
      <x:c r="F963" t="n">
        <x:v>0</x:v>
      </x:c>
      <x:c r="G963" s="25" t="n">
        <x:v>0.259405</x:v>
      </x:c>
      <x:c r="H963" t="n">
        <x:f>IF(G963&lt;$B$6,1,0)</x:f>
        <x:v>0</x:v>
      </x:c>
      <x:c r="I963" s="26" t="n">
        <x:f>H963*IF(F963=0,E963*$B$7,-E963*$B$8)</x:f>
        <x:v>0</x:v>
      </x:c>
    </x:row>
    <x:row r="964">
      <x:c r="A964" t="n">
        <x:v>3548</x:v>
      </x:c>
      <x:c r="B964" t="str">
        <x:v>2024-09</x:v>
      </x:c>
      <x:c r="C964" t="str">
        <x:v>Salaried</x:v>
      </x:c>
      <x:c r="D964" t="str">
        <x:v>Group A</x:v>
      </x:c>
      <x:c r="E964" s="26" t="n">
        <x:v>13223.62</x:v>
      </x:c>
      <x:c r="F964" t="n">
        <x:v>0</x:v>
      </x:c>
      <x:c r="G964" s="25" t="n">
        <x:v>0.4561</x:v>
      </x:c>
      <x:c r="H964" t="n">
        <x:f>IF(G964&lt;$B$6,1,0)</x:f>
        <x:v>0</x:v>
      </x:c>
      <x:c r="I964" s="26" t="n">
        <x:f>H964*IF(F964=0,E964*$B$7,-E964*$B$8)</x:f>
        <x:v>0</x:v>
      </x:c>
    </x:row>
    <x:row r="965">
      <x:c r="A965" t="n">
        <x:v>3620</x:v>
      </x:c>
      <x:c r="B965" t="str">
        <x:v>2024-09</x:v>
      </x:c>
      <x:c r="C965" t="str">
        <x:v>Self employed</x:v>
      </x:c>
      <x:c r="D965" t="str">
        <x:v>Group A</x:v>
      </x:c>
      <x:c r="E965" s="26" t="n">
        <x:v>29501.01</x:v>
      </x:c>
      <x:c r="F965" t="n">
        <x:v>1</x:v>
      </x:c>
      <x:c r="G965" s="25" t="n">
        <x:v>0.094137</x:v>
      </x:c>
      <x:c r="H965" t="n">
        <x:f>IF(G965&lt;$B$6,1,0)</x:f>
        <x:v>1</x:v>
      </x:c>
      <x:c r="I965" s="26" t="n">
        <x:f>H965*IF(F965=0,E965*$B$7,-E965*$B$8)</x:f>
        <x:v>-19175.6565</x:v>
      </x:c>
    </x:row>
    <x:row r="966">
      <x:c r="A966" t="n">
        <x:v>3720</x:v>
      </x:c>
      <x:c r="B966" t="str">
        <x:v>2024-09</x:v>
      </x:c>
      <x:c r="C966" t="str">
        <x:v>Contract</x:v>
      </x:c>
      <x:c r="D966" t="str">
        <x:v>Group B</x:v>
      </x:c>
      <x:c r="E966" s="26" t="n">
        <x:v>42297.1</x:v>
      </x:c>
      <x:c r="F966" t="n">
        <x:v>0</x:v>
      </x:c>
      <x:c r="G966" s="25" t="n">
        <x:v>0.063969</x:v>
      </x:c>
      <x:c r="H966" t="n">
        <x:f>IF(G966&lt;$B$6,1,0)</x:f>
        <x:v>1</x:v>
      </x:c>
      <x:c r="I966" s="26" t="n">
        <x:f>H966*IF(F966=0,E966*$B$7,-E966*$B$8)</x:f>
        <x:v>5075.652</x:v>
      </x:c>
    </x:row>
    <x:row r="967">
      <x:c r="A967" t="n">
        <x:v>3727</x:v>
      </x:c>
      <x:c r="B967" t="str">
        <x:v>2024-09</x:v>
      </x:c>
      <x:c r="C967" t="str">
        <x:v>Salaried</x:v>
      </x:c>
      <x:c r="D967" t="str">
        <x:v>Group A</x:v>
      </x:c>
      <x:c r="E967" s="26" t="n">
        <x:v>7990.15</x:v>
      </x:c>
      <x:c r="F967" t="n">
        <x:v>0</x:v>
      </x:c>
      <x:c r="G967" s="25" t="n">
        <x:v>0.043705</x:v>
      </x:c>
      <x:c r="H967" t="n">
        <x:f>IF(G967&lt;$B$6,1,0)</x:f>
        <x:v>1</x:v>
      </x:c>
      <x:c r="I967" s="26" t="n">
        <x:f>H967*IF(F967=0,E967*$B$7,-E967*$B$8)</x:f>
        <x:v>958.8179999999999</x:v>
      </x:c>
    </x:row>
    <x:row r="968">
      <x:c r="A968" t="n">
        <x:v>3753</x:v>
      </x:c>
      <x:c r="B968" t="str">
        <x:v>2024-09</x:v>
      </x:c>
      <x:c r="C968" t="str">
        <x:v>Salaried</x:v>
      </x:c>
      <x:c r="D968" t="str">
        <x:v>Group A</x:v>
      </x:c>
      <x:c r="E968" s="26" t="n">
        <x:v>15847.22</x:v>
      </x:c>
      <x:c r="F968" t="n">
        <x:v>0</x:v>
      </x:c>
      <x:c r="G968" s="25" t="n">
        <x:v>0.088728</x:v>
      </x:c>
      <x:c r="H968" t="n">
        <x:f>IF(G968&lt;$B$6,1,0)</x:f>
        <x:v>1</x:v>
      </x:c>
      <x:c r="I968" s="26" t="n">
        <x:f>H968*IF(F968=0,E968*$B$7,-E968*$B$8)</x:f>
        <x:v>1901.6663999999998</x:v>
      </x:c>
    </x:row>
    <x:row r="969">
      <x:c r="A969" t="n">
        <x:v>3759</x:v>
      </x:c>
      <x:c r="B969" t="str">
        <x:v>2024-09</x:v>
      </x:c>
      <x:c r="C969" t="str">
        <x:v>Contract</x:v>
      </x:c>
      <x:c r="D969" t="str">
        <x:v>Group A</x:v>
      </x:c>
      <x:c r="E969" s="26" t="n">
        <x:v>14624.57</x:v>
      </x:c>
      <x:c r="F969" t="n">
        <x:v>0</x:v>
      </x:c>
      <x:c r="G969" s="25" t="n">
        <x:v>0.101819</x:v>
      </x:c>
      <x:c r="H969" t="n">
        <x:f>IF(G969&lt;$B$6,1,0)</x:f>
        <x:v>1</x:v>
      </x:c>
      <x:c r="I969" s="26" t="n">
        <x:f>H969*IF(F969=0,E969*$B$7,-E969*$B$8)</x:f>
        <x:v>1754.9484</x:v>
      </x:c>
    </x:row>
    <x:row r="970">
      <x:c r="A970" t="n">
        <x:v>3766</x:v>
      </x:c>
      <x:c r="B970" t="str">
        <x:v>2024-09</x:v>
      </x:c>
      <x:c r="C970" t="str">
        <x:v>Salaried</x:v>
      </x:c>
      <x:c r="D970" t="str">
        <x:v>Group B</x:v>
      </x:c>
      <x:c r="E970" s="26" t="n">
        <x:v>23868.65</x:v>
      </x:c>
      <x:c r="F970" t="n">
        <x:v>1</x:v>
      </x:c>
      <x:c r="G970" s="25" t="n">
        <x:v>0.277442</x:v>
      </x:c>
      <x:c r="H970" t="n">
        <x:f>IF(G970&lt;$B$6,1,0)</x:f>
        <x:v>0</x:v>
      </x:c>
      <x:c r="I970" s="26" t="n">
        <x:f>H970*IF(F970=0,E970*$B$7,-E970*$B$8)</x:f>
        <x:v>0</x:v>
      </x:c>
    </x:row>
    <x:row r="971">
      <x:c r="A971" t="n">
        <x:v>3835</x:v>
      </x:c>
      <x:c r="B971" t="str">
        <x:v>2024-09</x:v>
      </x:c>
      <x:c r="C971" t="str">
        <x:v>Salaried</x:v>
      </x:c>
      <x:c r="D971" t="str">
        <x:v>Group B</x:v>
      </x:c>
      <x:c r="E971" s="26" t="n">
        <x:v>10951.55</x:v>
      </x:c>
      <x:c r="F971" t="n">
        <x:v>0</x:v>
      </x:c>
      <x:c r="G971" s="25" t="n">
        <x:v>0.169665</x:v>
      </x:c>
      <x:c r="H971" t="n">
        <x:f>IF(G971&lt;$B$6,1,0)</x:f>
        <x:v>0</x:v>
      </x:c>
      <x:c r="I971" s="26" t="n">
        <x:f>H971*IF(F971=0,E971*$B$7,-E971*$B$8)</x:f>
        <x:v>0</x:v>
      </x:c>
    </x:row>
    <x:row r="972">
      <x:c r="A972" t="n">
        <x:v>3871</x:v>
      </x:c>
      <x:c r="B972" t="str">
        <x:v>2024-09</x:v>
      </x:c>
      <x:c r="C972" t="str">
        <x:v>Salaried</x:v>
      </x:c>
      <x:c r="D972" t="str">
        <x:v>Group B</x:v>
      </x:c>
      <x:c r="E972" s="26" t="n">
        <x:v>31963.66</x:v>
      </x:c>
      <x:c r="F972" t="n">
        <x:v>1</x:v>
      </x:c>
      <x:c r="G972" s="25" t="n">
        <x:v>0.560355</x:v>
      </x:c>
      <x:c r="H972" t="n">
        <x:f>IF(G972&lt;$B$6,1,0)</x:f>
        <x:v>0</x:v>
      </x:c>
      <x:c r="I972" s="26" t="n">
        <x:f>H972*IF(F972=0,E972*$B$7,-E972*$B$8)</x:f>
        <x:v>0</x:v>
      </x:c>
    </x:row>
    <x:row r="973">
      <x:c r="A973" t="n">
        <x:v>3946</x:v>
      </x:c>
      <x:c r="B973" t="str">
        <x:v>2024-09</x:v>
      </x:c>
      <x:c r="C973" t="str">
        <x:v>Salaried</x:v>
      </x:c>
      <x:c r="D973" t="str">
        <x:v>Group A</x:v>
      </x:c>
      <x:c r="E973" s="26" t="n">
        <x:v>41379.84</x:v>
      </x:c>
      <x:c r="F973" t="n">
        <x:v>0</x:v>
      </x:c>
      <x:c r="G973" s="25" t="n">
        <x:v>0.436233</x:v>
      </x:c>
      <x:c r="H973" t="n">
        <x:f>IF(G973&lt;$B$6,1,0)</x:f>
        <x:v>0</x:v>
      </x:c>
      <x:c r="I973" s="26" t="n">
        <x:f>H973*IF(F973=0,E973*$B$7,-E973*$B$8)</x:f>
        <x:v>0</x:v>
      </x:c>
    </x:row>
    <x:row r="974">
      <x:c r="A974" t="n">
        <x:v>3961</x:v>
      </x:c>
      <x:c r="B974" t="str">
        <x:v>2024-09</x:v>
      </x:c>
      <x:c r="C974" t="str">
        <x:v>Salaried</x:v>
      </x:c>
      <x:c r="D974" t="str">
        <x:v>Group A</x:v>
      </x:c>
      <x:c r="E974" s="26" t="n">
        <x:v>22000.29</x:v>
      </x:c>
      <x:c r="F974" t="n">
        <x:v>1</x:v>
      </x:c>
      <x:c r="G974" s="25" t="n">
        <x:v>0.686065</x:v>
      </x:c>
      <x:c r="H974" t="n">
        <x:f>IF(G974&lt;$B$6,1,0)</x:f>
        <x:v>0</x:v>
      </x:c>
      <x:c r="I974" s="26" t="n">
        <x:f>H974*IF(F974=0,E974*$B$7,-E974*$B$8)</x:f>
        <x:v>0</x:v>
      </x:c>
    </x:row>
    <x:row r="975">
      <x:c r="A975" t="n">
        <x:v>3967</x:v>
      </x:c>
      <x:c r="B975" t="str">
        <x:v>2024-09</x:v>
      </x:c>
      <x:c r="C975" t="str">
        <x:v>Salaried</x:v>
      </x:c>
      <x:c r="D975" t="str">
        <x:v>Group A</x:v>
      </x:c>
      <x:c r="E975" s="26" t="n">
        <x:v>11636.69</x:v>
      </x:c>
      <x:c r="F975" t="n">
        <x:v>0</x:v>
      </x:c>
      <x:c r="G975" s="25" t="n">
        <x:v>0.154521</x:v>
      </x:c>
      <x:c r="H975" t="n">
        <x:f>IF(G975&lt;$B$6,1,0)</x:f>
        <x:v>1</x:v>
      </x:c>
      <x:c r="I975" s="26" t="n">
        <x:f>H975*IF(F975=0,E975*$B$7,-E975*$B$8)</x:f>
        <x:v>1396.4028</x:v>
      </x:c>
    </x:row>
    <x:row r="976">
      <x:c r="A976" t="n">
        <x:v>3989</x:v>
      </x:c>
      <x:c r="B976" t="str">
        <x:v>2024-09</x:v>
      </x:c>
      <x:c r="C976" t="str">
        <x:v>Self employed</x:v>
      </x:c>
      <x:c r="D976" t="str">
        <x:v>Group A</x:v>
      </x:c>
      <x:c r="E976" s="26" t="n">
        <x:v>11818.06</x:v>
      </x:c>
      <x:c r="F976" t="n">
        <x:v>0</x:v>
      </x:c>
      <x:c r="G976" s="25" t="n">
        <x:v>0.237561</x:v>
      </x:c>
      <x:c r="H976" t="n">
        <x:f>IF(G976&lt;$B$6,1,0)</x:f>
        <x:v>0</x:v>
      </x:c>
      <x:c r="I976" s="26" t="n">
        <x:f>H976*IF(F976=0,E976*$B$7,-E976*$B$8)</x:f>
        <x:v>0</x:v>
      </x:c>
    </x:row>
    <x:row r="977">
      <x:c r="A977" t="n">
        <x:v>4034</x:v>
      </x:c>
      <x:c r="B977" t="str">
        <x:v>2024-09</x:v>
      </x:c>
      <x:c r="C977" t="str">
        <x:v>Self employed</x:v>
      </x:c>
      <x:c r="D977" t="str">
        <x:v>Group B</x:v>
      </x:c>
      <x:c r="E977" s="26" t="n">
        <x:v>11013.98</x:v>
      </x:c>
      <x:c r="F977" t="n">
        <x:v>0</x:v>
      </x:c>
      <x:c r="G977" s="25" t="n">
        <x:v>0.423646</x:v>
      </x:c>
      <x:c r="H977" t="n">
        <x:f>IF(G977&lt;$B$6,1,0)</x:f>
        <x:v>0</x:v>
      </x:c>
      <x:c r="I977" s="26" t="n">
        <x:f>H977*IF(F977=0,E977*$B$7,-E977*$B$8)</x:f>
        <x:v>0</x:v>
      </x:c>
    </x:row>
    <x:row r="978">
      <x:c r="A978" t="n">
        <x:v>4045</x:v>
      </x:c>
      <x:c r="B978" t="str">
        <x:v>2024-09</x:v>
      </x:c>
      <x:c r="C978" t="str">
        <x:v>Salaried</x:v>
      </x:c>
      <x:c r="D978" t="str">
        <x:v>Group B</x:v>
      </x:c>
      <x:c r="E978" s="26" t="n">
        <x:v>18138.58</x:v>
      </x:c>
      <x:c r="F978" t="n">
        <x:v>0</x:v>
      </x:c>
      <x:c r="G978" s="25" t="n">
        <x:v>0.185073</x:v>
      </x:c>
      <x:c r="H978" t="n">
        <x:f>IF(G978&lt;$B$6,1,0)</x:f>
        <x:v>0</x:v>
      </x:c>
      <x:c r="I978" s="26" t="n">
        <x:f>H978*IF(F978=0,E978*$B$7,-E978*$B$8)</x:f>
        <x:v>0</x:v>
      </x:c>
    </x:row>
    <x:row r="979">
      <x:c r="A979" t="n">
        <x:v>4057</x:v>
      </x:c>
      <x:c r="B979" t="str">
        <x:v>2024-09</x:v>
      </x:c>
      <x:c r="C979" t="str">
        <x:v>Salaried</x:v>
      </x:c>
      <x:c r="D979" t="str">
        <x:v>Group A</x:v>
      </x:c>
      <x:c r="E979" s="26" t="n">
        <x:v>20995</x:v>
      </x:c>
      <x:c r="F979" t="n">
        <x:v>0</x:v>
      </x:c>
      <x:c r="G979" s="25" t="n">
        <x:v>0.082938</x:v>
      </x:c>
      <x:c r="H979" t="n">
        <x:f>IF(G979&lt;$B$6,1,0)</x:f>
        <x:v>1</x:v>
      </x:c>
      <x:c r="I979" s="26" t="n">
        <x:f>H979*IF(F979=0,E979*$B$7,-E979*$B$8)</x:f>
        <x:v>2519.4</x:v>
      </x:c>
    </x:row>
    <x:row r="980">
      <x:c r="A980" t="n">
        <x:v>4090</x:v>
      </x:c>
      <x:c r="B980" t="str">
        <x:v>2024-09</x:v>
      </x:c>
      <x:c r="C980" t="str">
        <x:v>Salaried</x:v>
      </x:c>
      <x:c r="D980" t="str">
        <x:v>Group A</x:v>
      </x:c>
      <x:c r="E980" s="26" t="n">
        <x:v>28281.39</x:v>
      </x:c>
      <x:c r="F980" t="n">
        <x:v>0</x:v>
      </x:c>
      <x:c r="G980" s="25" t="n">
        <x:v>0.095792</x:v>
      </x:c>
      <x:c r="H980" t="n">
        <x:f>IF(G980&lt;$B$6,1,0)</x:f>
        <x:v>1</x:v>
      </x:c>
      <x:c r="I980" s="26" t="n">
        <x:f>H980*IF(F980=0,E980*$B$7,-E980*$B$8)</x:f>
        <x:v>3393.7668</x:v>
      </x:c>
    </x:row>
    <x:row r="981">
      <x:c r="A981" t="n">
        <x:v>4096</x:v>
      </x:c>
      <x:c r="B981" t="str">
        <x:v>2024-09</x:v>
      </x:c>
      <x:c r="C981" t="str">
        <x:v>Self employed</x:v>
      </x:c>
      <x:c r="D981" t="str">
        <x:v>Group A</x:v>
      </x:c>
      <x:c r="E981" s="26" t="n">
        <x:v>3667.44</x:v>
      </x:c>
      <x:c r="F981" t="n">
        <x:v>0</x:v>
      </x:c>
      <x:c r="G981" s="25" t="n">
        <x:v>0.056553</x:v>
      </x:c>
      <x:c r="H981" t="n">
        <x:f>IF(G981&lt;$B$6,1,0)</x:f>
        <x:v>1</x:v>
      </x:c>
      <x:c r="I981" s="26" t="n">
        <x:f>H981*IF(F981=0,E981*$B$7,-E981*$B$8)</x:f>
        <x:v>440.0928</x:v>
      </x:c>
    </x:row>
    <x:row r="982">
      <x:c r="A982" t="n">
        <x:v>4133</x:v>
      </x:c>
      <x:c r="B982" t="str">
        <x:v>2024-09</x:v>
      </x:c>
      <x:c r="C982" t="str">
        <x:v>Contract</x:v>
      </x:c>
      <x:c r="D982" t="str">
        <x:v>Group B</x:v>
      </x:c>
      <x:c r="E982" s="26" t="n">
        <x:v>33015.17</x:v>
      </x:c>
      <x:c r="F982" t="n">
        <x:v>0</x:v>
      </x:c>
      <x:c r="G982" s="25" t="n">
        <x:v>0.209701</x:v>
      </x:c>
      <x:c r="H982" t="n">
        <x:f>IF(G982&lt;$B$6,1,0)</x:f>
        <x:v>0</x:v>
      </x:c>
      <x:c r="I982" s="26" t="n">
        <x:f>H982*IF(F982=0,E982*$B$7,-E982*$B$8)</x:f>
        <x:v>0</x:v>
      </x:c>
    </x:row>
    <x:row r="983">
      <x:c r="A983" t="n">
        <x:v>4140</x:v>
      </x:c>
      <x:c r="B983" t="str">
        <x:v>2024-09</x:v>
      </x:c>
      <x:c r="C983" t="str">
        <x:v>Salaried</x:v>
      </x:c>
      <x:c r="D983" t="str">
        <x:v>Group A</x:v>
      </x:c>
      <x:c r="E983" s="26" t="n">
        <x:v>3047.33</x:v>
      </x:c>
      <x:c r="F983" t="n">
        <x:v>1</x:v>
      </x:c>
      <x:c r="G983" s="25" t="n">
        <x:v>0.341587</x:v>
      </x:c>
      <x:c r="H983" t="n">
        <x:f>IF(G983&lt;$B$6,1,0)</x:f>
        <x:v>0</x:v>
      </x:c>
      <x:c r="I983" s="26" t="n">
        <x:f>H983*IF(F983=0,E983*$B$7,-E983*$B$8)</x:f>
        <x:v>0</x:v>
      </x:c>
    </x:row>
    <x:row r="984">
      <x:c r="A984" t="n">
        <x:v>4157</x:v>
      </x:c>
      <x:c r="B984" t="str">
        <x:v>2024-09</x:v>
      </x:c>
      <x:c r="C984" t="str">
        <x:v>Salaried</x:v>
      </x:c>
      <x:c r="D984" t="str">
        <x:v>Group A</x:v>
      </x:c>
      <x:c r="E984" s="26" t="n">
        <x:v>14259.94</x:v>
      </x:c>
      <x:c r="F984" t="n">
        <x:v>0</x:v>
      </x:c>
      <x:c r="G984" s="25" t="n">
        <x:v>0.379652</x:v>
      </x:c>
      <x:c r="H984" t="n">
        <x:f>IF(G984&lt;$B$6,1,0)</x:f>
        <x:v>0</x:v>
      </x:c>
      <x:c r="I984" s="26" t="n">
        <x:f>H984*IF(F984=0,E984*$B$7,-E984*$B$8)</x:f>
        <x:v>0</x:v>
      </x:c>
    </x:row>
    <x:row r="985">
      <x:c r="A985" t="n">
        <x:v>4163</x:v>
      </x:c>
      <x:c r="B985" t="str">
        <x:v>2024-09</x:v>
      </x:c>
      <x:c r="C985" t="str">
        <x:v>Self employed</x:v>
      </x:c>
      <x:c r="D985" t="str">
        <x:v>Group B</x:v>
      </x:c>
      <x:c r="E985" s="26" t="n">
        <x:v>18383.13</x:v>
      </x:c>
      <x:c r="F985" t="n">
        <x:v>0</x:v>
      </x:c>
      <x:c r="G985" s="25" t="n">
        <x:v>0.185763</x:v>
      </x:c>
      <x:c r="H985" t="n">
        <x:f>IF(G985&lt;$B$6,1,0)</x:f>
        <x:v>0</x:v>
      </x:c>
      <x:c r="I985" s="26" t="n">
        <x:f>H985*IF(F985=0,E985*$B$7,-E985*$B$8)</x:f>
        <x:v>0</x:v>
      </x:c>
    </x:row>
    <x:row r="986">
      <x:c r="A986" t="n">
        <x:v>4164</x:v>
      </x:c>
      <x:c r="B986" t="str">
        <x:v>2024-09</x:v>
      </x:c>
      <x:c r="C986" t="str">
        <x:v>Salaried</x:v>
      </x:c>
      <x:c r="D986" t="str">
        <x:v>Group A</x:v>
      </x:c>
      <x:c r="E986" s="26" t="n">
        <x:v>4347.4</x:v>
      </x:c>
      <x:c r="F986" t="n">
        <x:v>0</x:v>
      </x:c>
      <x:c r="G986" s="25" t="n">
        <x:v>0.190669</x:v>
      </x:c>
      <x:c r="H986" t="n">
        <x:f>IF(G986&lt;$B$6,1,0)</x:f>
        <x:v>0</x:v>
      </x:c>
      <x:c r="I986" s="26" t="n">
        <x:f>H986*IF(F986=0,E986*$B$7,-E986*$B$8)</x:f>
        <x:v>0</x:v>
      </x:c>
    </x:row>
    <x:row r="987">
      <x:c r="A987" t="n">
        <x:v>4227</x:v>
      </x:c>
      <x:c r="B987" t="str">
        <x:v>2024-09</x:v>
      </x:c>
      <x:c r="C987" t="str">
        <x:v>Self employed</x:v>
      </x:c>
      <x:c r="D987" t="str">
        <x:v>Group B</x:v>
      </x:c>
      <x:c r="E987" s="26" t="n">
        <x:v>7586.6</x:v>
      </x:c>
      <x:c r="F987" t="n">
        <x:v>0</x:v>
      </x:c>
      <x:c r="G987" s="25" t="n">
        <x:v>0.592297</x:v>
      </x:c>
      <x:c r="H987" t="n">
        <x:f>IF(G987&lt;$B$6,1,0)</x:f>
        <x:v>0</x:v>
      </x:c>
      <x:c r="I987" s="26" t="n">
        <x:f>H987*IF(F987=0,E987*$B$7,-E987*$B$8)</x:f>
        <x:v>0</x:v>
      </x:c>
    </x:row>
    <x:row r="988">
      <x:c r="A988" t="n">
        <x:v>4276</x:v>
      </x:c>
      <x:c r="B988" t="str">
        <x:v>2024-09</x:v>
      </x:c>
      <x:c r="C988" t="str">
        <x:v>Salaried</x:v>
      </x:c>
      <x:c r="D988" t="str">
        <x:v>Group B</x:v>
      </x:c>
      <x:c r="E988" s="26" t="n">
        <x:v>5900.71</x:v>
      </x:c>
      <x:c r="F988" t="n">
        <x:v>1</x:v>
      </x:c>
      <x:c r="G988" s="25" t="n">
        <x:v>0.18567</x:v>
      </x:c>
      <x:c r="H988" t="n">
        <x:f>IF(G988&lt;$B$6,1,0)</x:f>
        <x:v>0</x:v>
      </x:c>
      <x:c r="I988" s="26" t="n">
        <x:f>H988*IF(F988=0,E988*$B$7,-E988*$B$8)</x:f>
        <x:v>0</x:v>
      </x:c>
    </x:row>
    <x:row r="989">
      <x:c r="A989" t="n">
        <x:v>4292</x:v>
      </x:c>
      <x:c r="B989" t="str">
        <x:v>2024-09</x:v>
      </x:c>
      <x:c r="C989" t="str">
        <x:v>Salaried</x:v>
      </x:c>
      <x:c r="D989" t="str">
        <x:v>Group B</x:v>
      </x:c>
      <x:c r="E989" s="26" t="n">
        <x:v>7852.95</x:v>
      </x:c>
      <x:c r="F989" t="n">
        <x:v>0</x:v>
      </x:c>
      <x:c r="G989" s="25" t="n">
        <x:v>0.348265</x:v>
      </x:c>
      <x:c r="H989" t="n">
        <x:f>IF(G989&lt;$B$6,1,0)</x:f>
        <x:v>0</x:v>
      </x:c>
      <x:c r="I989" s="26" t="n">
        <x:f>H989*IF(F989=0,E989*$B$7,-E989*$B$8)</x:f>
        <x:v>0</x:v>
      </x:c>
    </x:row>
    <x:row r="990">
      <x:c r="A990" t="n">
        <x:v>4297</x:v>
      </x:c>
      <x:c r="B990" t="str">
        <x:v>2024-09</x:v>
      </x:c>
      <x:c r="C990" t="str">
        <x:v>Contract</x:v>
      </x:c>
      <x:c r="D990" t="str">
        <x:v>Group A</x:v>
      </x:c>
      <x:c r="E990" s="26" t="n">
        <x:v>14336.98</x:v>
      </x:c>
      <x:c r="F990" t="n">
        <x:v>0</x:v>
      </x:c>
      <x:c r="G990" s="25" t="n">
        <x:v>0.116908</x:v>
      </x:c>
      <x:c r="H990" t="n">
        <x:f>IF(G990&lt;$B$6,1,0)</x:f>
        <x:v>1</x:v>
      </x:c>
      <x:c r="I990" s="26" t="n">
        <x:f>H990*IF(F990=0,E990*$B$7,-E990*$B$8)</x:f>
        <x:v>1720.4376</x:v>
      </x:c>
    </x:row>
    <x:row r="991">
      <x:c r="A991" t="n">
        <x:v>4307</x:v>
      </x:c>
      <x:c r="B991" t="str">
        <x:v>2024-09</x:v>
      </x:c>
      <x:c r="C991" t="str">
        <x:v>Salaried</x:v>
      </x:c>
      <x:c r="D991" t="str">
        <x:v>Group B</x:v>
      </x:c>
      <x:c r="E991" s="26" t="n">
        <x:v>32626.96</x:v>
      </x:c>
      <x:c r="F991" t="n">
        <x:v>1</x:v>
      </x:c>
      <x:c r="G991" s="25" t="n">
        <x:v>0.522758</x:v>
      </x:c>
      <x:c r="H991" t="n">
        <x:f>IF(G991&lt;$B$6,1,0)</x:f>
        <x:v>0</x:v>
      </x:c>
      <x:c r="I991" s="26" t="n">
        <x:f>H991*IF(F991=0,E991*$B$7,-E991*$B$8)</x:f>
        <x:v>0</x:v>
      </x:c>
    </x:row>
    <x:row r="992">
      <x:c r="A992" t="n">
        <x:v>4321</x:v>
      </x:c>
      <x:c r="B992" t="str">
        <x:v>2024-09</x:v>
      </x:c>
      <x:c r="C992" t="str">
        <x:v>Salaried</x:v>
      </x:c>
      <x:c r="D992" t="str">
        <x:v>Group A</x:v>
      </x:c>
      <x:c r="E992" s="26" t="n">
        <x:v>13351.85</x:v>
      </x:c>
      <x:c r="F992" t="n">
        <x:v>0</x:v>
      </x:c>
      <x:c r="G992" s="25" t="n">
        <x:v>0.106449</x:v>
      </x:c>
      <x:c r="H992" t="n">
        <x:f>IF(G992&lt;$B$6,1,0)</x:f>
        <x:v>1</x:v>
      </x:c>
      <x:c r="I992" s="26" t="n">
        <x:f>H992*IF(F992=0,E992*$B$7,-E992*$B$8)</x:f>
        <x:v>1602.222</x:v>
      </x:c>
    </x:row>
    <x:row r="993">
      <x:c r="A993" t="n">
        <x:v>4323</x:v>
      </x:c>
      <x:c r="B993" t="str">
        <x:v>2024-09</x:v>
      </x:c>
      <x:c r="C993" t="str">
        <x:v>Salaried</x:v>
      </x:c>
      <x:c r="D993" t="str">
        <x:v>Group B</x:v>
      </x:c>
      <x:c r="E993" s="26" t="n">
        <x:v>5263.59</x:v>
      </x:c>
      <x:c r="F993" t="n">
        <x:v>0</x:v>
      </x:c>
      <x:c r="G993" s="25" t="n">
        <x:v>0.36095</x:v>
      </x:c>
      <x:c r="H993" t="n">
        <x:f>IF(G993&lt;$B$6,1,0)</x:f>
        <x:v>0</x:v>
      </x:c>
      <x:c r="I993" s="26" t="n">
        <x:f>H993*IF(F993=0,E993*$B$7,-E993*$B$8)</x:f>
        <x:v>0</x:v>
      </x:c>
    </x:row>
    <x:row r="994">
      <x:c r="A994" t="n">
        <x:v>4390</x:v>
      </x:c>
      <x:c r="B994" t="str">
        <x:v>2024-09</x:v>
      </x:c>
      <x:c r="C994" t="str">
        <x:v>Salaried</x:v>
      </x:c>
      <x:c r="D994" t="str">
        <x:v>Group B</x:v>
      </x:c>
      <x:c r="E994" s="26" t="n">
        <x:v>20097.14</x:v>
      </x:c>
      <x:c r="F994" t="n">
        <x:v>1</x:v>
      </x:c>
      <x:c r="G994" s="25" t="n">
        <x:v>0.162128</x:v>
      </x:c>
      <x:c r="H994" t="n">
        <x:f>IF(G994&lt;$B$6,1,0)</x:f>
        <x:v>0</x:v>
      </x:c>
      <x:c r="I994" s="26" t="n">
        <x:f>H994*IF(F994=0,E994*$B$7,-E994*$B$8)</x:f>
        <x:v>0</x:v>
      </x:c>
    </x:row>
    <x:row r="995">
      <x:c r="A995" t="n">
        <x:v>4467</x:v>
      </x:c>
      <x:c r="B995" t="str">
        <x:v>2024-09</x:v>
      </x:c>
      <x:c r="C995" t="str">
        <x:v>Salaried</x:v>
      </x:c>
      <x:c r="D995" t="str">
        <x:v>Group A</x:v>
      </x:c>
      <x:c r="E995" s="26" t="n">
        <x:v>4810.4</x:v>
      </x:c>
      <x:c r="F995" t="n">
        <x:v>0</x:v>
      </x:c>
      <x:c r="G995" s="25" t="n">
        <x:v>0.020404</x:v>
      </x:c>
      <x:c r="H995" t="n">
        <x:f>IF(G995&lt;$B$6,1,0)</x:f>
        <x:v>1</x:v>
      </x:c>
      <x:c r="I995" s="26" t="n">
        <x:f>H995*IF(F995=0,E995*$B$7,-E995*$B$8)</x:f>
        <x:v>577.2479999999999</x:v>
      </x:c>
    </x:row>
    <x:row r="996">
      <x:c r="A996" t="n">
        <x:v>4468</x:v>
      </x:c>
      <x:c r="B996" t="str">
        <x:v>2024-09</x:v>
      </x:c>
      <x:c r="C996" t="str">
        <x:v>Self employed</x:v>
      </x:c>
      <x:c r="D996" t="str">
        <x:v>Group B</x:v>
      </x:c>
      <x:c r="E996" s="26" t="n">
        <x:v>22701.24</x:v>
      </x:c>
      <x:c r="F996" t="n">
        <x:v>0</x:v>
      </x:c>
      <x:c r="G996" s="25" t="n">
        <x:v>0.469997</x:v>
      </x:c>
      <x:c r="H996" t="n">
        <x:f>IF(G996&lt;$B$6,1,0)</x:f>
        <x:v>0</x:v>
      </x:c>
      <x:c r="I996" s="26" t="n">
        <x:f>H996*IF(F996=0,E996*$B$7,-E996*$B$8)</x:f>
        <x:v>0</x:v>
      </x:c>
    </x:row>
    <x:row r="997">
      <x:c r="A997" t="n">
        <x:v>4530</x:v>
      </x:c>
      <x:c r="B997" t="str">
        <x:v>2024-09</x:v>
      </x:c>
      <x:c r="C997" t="str">
        <x:v>Contract</x:v>
      </x:c>
      <x:c r="D997" t="str">
        <x:v>Group B</x:v>
      </x:c>
      <x:c r="E997" s="26" t="n">
        <x:v>16042.83</x:v>
      </x:c>
      <x:c r="F997" t="n">
        <x:v>0</x:v>
      </x:c>
      <x:c r="G997" s="25" t="n">
        <x:v>0.160752</x:v>
      </x:c>
      <x:c r="H997" t="n">
        <x:f>IF(G997&lt;$B$6,1,0)</x:f>
        <x:v>0</x:v>
      </x:c>
      <x:c r="I997" s="26" t="n">
        <x:f>H997*IF(F997=0,E997*$B$7,-E997*$B$8)</x:f>
        <x:v>0</x:v>
      </x:c>
    </x:row>
    <x:row r="998">
      <x:c r="A998" t="n">
        <x:v>4538</x:v>
      </x:c>
      <x:c r="B998" t="str">
        <x:v>2024-09</x:v>
      </x:c>
      <x:c r="C998" t="str">
        <x:v>Salaried</x:v>
      </x:c>
      <x:c r="D998" t="str">
        <x:v>Group B</x:v>
      </x:c>
      <x:c r="E998" s="26" t="n">
        <x:v>11617.95</x:v>
      </x:c>
      <x:c r="F998" t="n">
        <x:v>0</x:v>
      </x:c>
      <x:c r="G998" s="25" t="n">
        <x:v>0.222094</x:v>
      </x:c>
      <x:c r="H998" t="n">
        <x:f>IF(G998&lt;$B$6,1,0)</x:f>
        <x:v>0</x:v>
      </x:c>
      <x:c r="I998" s="26" t="n">
        <x:f>H998*IF(F998=0,E998*$B$7,-E998*$B$8)</x:f>
        <x:v>0</x:v>
      </x:c>
    </x:row>
    <x:row r="999">
      <x:c r="A999" t="n">
        <x:v>4609</x:v>
      </x:c>
      <x:c r="B999" t="str">
        <x:v>2024-09</x:v>
      </x:c>
      <x:c r="C999" t="str">
        <x:v>Salaried</x:v>
      </x:c>
      <x:c r="D999" t="str">
        <x:v>Group A</x:v>
      </x:c>
      <x:c r="E999" s="26" t="n">
        <x:v>6283.1</x:v>
      </x:c>
      <x:c r="F999" t="n">
        <x:v>0</x:v>
      </x:c>
      <x:c r="G999" s="25" t="n">
        <x:v>0.197138</x:v>
      </x:c>
      <x:c r="H999" t="n">
        <x:f>IF(G999&lt;$B$6,1,0)</x:f>
        <x:v>0</x:v>
      </x:c>
      <x:c r="I999" s="26" t="n">
        <x:f>H999*IF(F999=0,E999*$B$7,-E999*$B$8)</x:f>
        <x:v>0</x:v>
      </x:c>
    </x:row>
    <x:row r="1000">
      <x:c r="A1000" t="n">
        <x:v>4635</x:v>
      </x:c>
      <x:c r="B1000" t="str">
        <x:v>2024-09</x:v>
      </x:c>
      <x:c r="C1000" t="str">
        <x:v>Salaried</x:v>
      </x:c>
      <x:c r="D1000" t="str">
        <x:v>Group B</x:v>
      </x:c>
      <x:c r="E1000" s="26" t="n">
        <x:v>14485.87</x:v>
      </x:c>
      <x:c r="F1000" t="n">
        <x:v>0</x:v>
      </x:c>
      <x:c r="G1000" s="25" t="n">
        <x:v>0.188298</x:v>
      </x:c>
      <x:c r="H1000" t="n">
        <x:f>IF(G1000&lt;$B$6,1,0)</x:f>
        <x:v>0</x:v>
      </x:c>
      <x:c r="I1000" s="26" t="n">
        <x:f>H1000*IF(F1000=0,E1000*$B$7,-E1000*$B$8)</x:f>
        <x:v>0</x:v>
      </x:c>
    </x:row>
    <x:row r="1001">
      <x:c r="A1001" t="n">
        <x:v>4677</x:v>
      </x:c>
      <x:c r="B1001" t="str">
        <x:v>2024-09</x:v>
      </x:c>
      <x:c r="C1001" t="str">
        <x:v>Salaried</x:v>
      </x:c>
      <x:c r="D1001" t="str">
        <x:v>Group B</x:v>
      </x:c>
      <x:c r="E1001" s="26" t="n">
        <x:v>33298.44</x:v>
      </x:c>
      <x:c r="F1001" t="n">
        <x:v>1</x:v>
      </x:c>
      <x:c r="G1001" s="25" t="n">
        <x:v>0.29727</x:v>
      </x:c>
      <x:c r="H1001" t="n">
        <x:f>IF(G1001&lt;$B$6,1,0)</x:f>
        <x:v>0</x:v>
      </x:c>
      <x:c r="I1001" s="26" t="n">
        <x:f>H1001*IF(F1001=0,E1001*$B$7,-E1001*$B$8)</x:f>
        <x:v>0</x:v>
      </x:c>
    </x:row>
    <x:row r="1002">
      <x:c r="A1002" t="n">
        <x:v>4703</x:v>
      </x:c>
      <x:c r="B1002" t="str">
        <x:v>2024-09</x:v>
      </x:c>
      <x:c r="C1002" t="str">
        <x:v>Salaried</x:v>
      </x:c>
      <x:c r="D1002" t="str">
        <x:v>Group B</x:v>
      </x:c>
      <x:c r="E1002" s="26" t="n">
        <x:v>9299.34</x:v>
      </x:c>
      <x:c r="F1002" t="n">
        <x:v>0</x:v>
      </x:c>
      <x:c r="G1002" s="25" t="n">
        <x:v>0.227285</x:v>
      </x:c>
      <x:c r="H1002" t="n">
        <x:f>IF(G1002&lt;$B$6,1,0)</x:f>
        <x:v>0</x:v>
      </x:c>
      <x:c r="I1002" s="26" t="n">
        <x:f>H1002*IF(F1002=0,E1002*$B$7,-E1002*$B$8)</x:f>
        <x:v>0</x:v>
      </x:c>
    </x:row>
    <x:row r="1003">
      <x:c r="A1003" t="n">
        <x:v>4725</x:v>
      </x:c>
      <x:c r="B1003" t="str">
        <x:v>2024-09</x:v>
      </x:c>
      <x:c r="C1003" t="str">
        <x:v>Self employed</x:v>
      </x:c>
      <x:c r="D1003" t="str">
        <x:v>Group A</x:v>
      </x:c>
      <x:c r="E1003" s="26" t="n">
        <x:v>12849.97</x:v>
      </x:c>
      <x:c r="F1003" t="n">
        <x:v>0</x:v>
      </x:c>
      <x:c r="G1003" s="25" t="n">
        <x:v>0.037719</x:v>
      </x:c>
      <x:c r="H1003" t="n">
        <x:f>IF(G1003&lt;$B$6,1,0)</x:f>
        <x:v>1</x:v>
      </x:c>
      <x:c r="I1003" s="26" t="n">
        <x:f>H1003*IF(F1003=0,E1003*$B$7,-E1003*$B$8)</x:f>
        <x:v>1541.9963999999998</x:v>
      </x:c>
    </x:row>
    <x:row r="1004">
      <x:c r="A1004" t="n">
        <x:v>4775</x:v>
      </x:c>
      <x:c r="B1004" t="str">
        <x:v>2024-09</x:v>
      </x:c>
      <x:c r="C1004" t="str">
        <x:v>Salaried</x:v>
      </x:c>
      <x:c r="D1004" t="str">
        <x:v>Group A</x:v>
      </x:c>
      <x:c r="E1004" s="26" t="n">
        <x:v>14828.19</x:v>
      </x:c>
      <x:c r="F1004" t="n">
        <x:v>0</x:v>
      </x:c>
      <x:c r="G1004" s="25" t="n">
        <x:v>0.095763</x:v>
      </x:c>
      <x:c r="H1004" t="n">
        <x:f>IF(G1004&lt;$B$6,1,0)</x:f>
        <x:v>1</x:v>
      </x:c>
      <x:c r="I1004" s="26" t="n">
        <x:f>H1004*IF(F1004=0,E1004*$B$7,-E1004*$B$8)</x:f>
        <x:v>1779.3828</x:v>
      </x:c>
    </x:row>
    <x:row r="1005">
      <x:c r="A1005" t="n">
        <x:v>4784</x:v>
      </x:c>
      <x:c r="B1005" t="str">
        <x:v>2024-09</x:v>
      </x:c>
      <x:c r="C1005" t="str">
        <x:v>Salaried</x:v>
      </x:c>
      <x:c r="D1005" t="str">
        <x:v>Group B</x:v>
      </x:c>
      <x:c r="E1005" s="26" t="n">
        <x:v>21113.44</x:v>
      </x:c>
      <x:c r="F1005" t="n">
        <x:v>0</x:v>
      </x:c>
      <x:c r="G1005" s="25" t="n">
        <x:v>0.129138</x:v>
      </x:c>
      <x:c r="H1005" t="n">
        <x:f>IF(G1005&lt;$B$6,1,0)</x:f>
        <x:v>1</x:v>
      </x:c>
      <x:c r="I1005" s="26" t="n">
        <x:f>H1005*IF(F1005=0,E1005*$B$7,-E1005*$B$8)</x:f>
        <x:v>2533.6128</x:v>
      </x:c>
    </x:row>
    <x:row r="1006">
      <x:c r="A1006" t="n">
        <x:v>4812</x:v>
      </x:c>
      <x:c r="B1006" t="str">
        <x:v>2024-09</x:v>
      </x:c>
      <x:c r="C1006" t="str">
        <x:v>Salaried</x:v>
      </x:c>
      <x:c r="D1006" t="str">
        <x:v>Group A</x:v>
      </x:c>
      <x:c r="E1006" s="26" t="n">
        <x:v>37336.44</x:v>
      </x:c>
      <x:c r="F1006" t="n">
        <x:v>1</x:v>
      </x:c>
      <x:c r="G1006" s="25" t="n">
        <x:v>0.416262</x:v>
      </x:c>
      <x:c r="H1006" t="n">
        <x:f>IF(G1006&lt;$B$6,1,0)</x:f>
        <x:v>0</x:v>
      </x:c>
      <x:c r="I1006" s="26" t="n">
        <x:f>H1006*IF(F1006=0,E1006*$B$7,-E1006*$B$8)</x:f>
        <x:v>0</x:v>
      </x:c>
    </x:row>
    <x:row r="1007">
      <x:c r="A1007" t="n">
        <x:v>4819</x:v>
      </x:c>
      <x:c r="B1007" t="str">
        <x:v>2024-09</x:v>
      </x:c>
      <x:c r="C1007" t="str">
        <x:v>Self employed</x:v>
      </x:c>
      <x:c r="D1007" t="str">
        <x:v>Group B</x:v>
      </x:c>
      <x:c r="E1007" s="26" t="n">
        <x:v>14473.3</x:v>
      </x:c>
      <x:c r="F1007" t="n">
        <x:v>0</x:v>
      </x:c>
      <x:c r="G1007" s="25" t="n">
        <x:v>0.180809</x:v>
      </x:c>
      <x:c r="H1007" t="n">
        <x:f>IF(G1007&lt;$B$6,1,0)</x:f>
        <x:v>0</x:v>
      </x:c>
      <x:c r="I1007" s="26" t="n">
        <x:f>H1007*IF(F1007=0,E1007*$B$7,-E1007*$B$8)</x:f>
        <x:v>0</x:v>
      </x:c>
    </x:row>
    <x:row r="1008">
      <x:c r="A1008" t="n">
        <x:v>4820</x:v>
      </x:c>
      <x:c r="B1008" t="str">
        <x:v>2024-09</x:v>
      </x:c>
      <x:c r="C1008" t="str">
        <x:v>Contract</x:v>
      </x:c>
      <x:c r="D1008" t="str">
        <x:v>Group B</x:v>
      </x:c>
      <x:c r="E1008" s="26" t="n">
        <x:v>31275.62</x:v>
      </x:c>
      <x:c r="F1008" t="n">
        <x:v>0</x:v>
      </x:c>
      <x:c r="G1008" s="25" t="n">
        <x:v>0.17571</x:v>
      </x:c>
      <x:c r="H1008" t="n">
        <x:f>IF(G1008&lt;$B$6,1,0)</x:f>
        <x:v>0</x:v>
      </x:c>
      <x:c r="I1008" s="26" t="n">
        <x:f>H1008*IF(F1008=0,E1008*$B$7,-E1008*$B$8)</x:f>
        <x:v>0</x:v>
      </x:c>
    </x:row>
    <x:row r="1009">
      <x:c r="A1009" t="n">
        <x:v>4830</x:v>
      </x:c>
      <x:c r="B1009" t="str">
        <x:v>2024-09</x:v>
      </x:c>
      <x:c r="C1009" t="str">
        <x:v>Contract</x:v>
      </x:c>
      <x:c r="D1009" t="str">
        <x:v>Group B</x:v>
      </x:c>
      <x:c r="E1009" s="26" t="n">
        <x:v>12165.11</x:v>
      </x:c>
      <x:c r="F1009" t="n">
        <x:v>0</x:v>
      </x:c>
      <x:c r="G1009" s="25" t="n">
        <x:v>0.238692</x:v>
      </x:c>
      <x:c r="H1009" t="n">
        <x:f>IF(G1009&lt;$B$6,1,0)</x:f>
        <x:v>0</x:v>
      </x:c>
      <x:c r="I1009" s="26" t="n">
        <x:f>H1009*IF(F1009=0,E1009*$B$7,-E1009*$B$8)</x:f>
        <x:v>0</x:v>
      </x:c>
    </x:row>
    <x:row r="1010">
      <x:c r="A1010" t="n">
        <x:v>4920</x:v>
      </x:c>
      <x:c r="B1010" t="str">
        <x:v>2024-09</x:v>
      </x:c>
      <x:c r="C1010" t="str">
        <x:v>Self employed</x:v>
      </x:c>
      <x:c r="D1010" t="str">
        <x:v>Group B</x:v>
      </x:c>
      <x:c r="E1010" s="26" t="n">
        <x:v>13206.91</x:v>
      </x:c>
      <x:c r="F1010" t="n">
        <x:v>1</x:v>
      </x:c>
      <x:c r="G1010" s="25" t="n">
        <x:v>0.193769</x:v>
      </x:c>
      <x:c r="H1010" t="n">
        <x:f>IF(G1010&lt;$B$6,1,0)</x:f>
        <x:v>0</x:v>
      </x:c>
      <x:c r="I1010" s="26" t="n">
        <x:f>H1010*IF(F1010=0,E1010*$B$7,-E1010*$B$8)</x:f>
        <x:v>0</x:v>
      </x:c>
    </x:row>
    <x:row r="1011">
      <x:c r="A1011" t="n">
        <x:v>4972</x:v>
      </x:c>
      <x:c r="B1011" t="str">
        <x:v>2024-09</x:v>
      </x:c>
      <x:c r="C1011" t="str">
        <x:v>Salaried</x:v>
      </x:c>
      <x:c r="D1011" t="str">
        <x:v>Group B</x:v>
      </x:c>
      <x:c r="E1011" s="26" t="n">
        <x:v>8762.68</x:v>
      </x:c>
      <x:c r="F1011" t="n">
        <x:v>0</x:v>
      </x:c>
      <x:c r="G1011" s="25" t="n">
        <x:v>0.127255</x:v>
      </x:c>
      <x:c r="H1011" t="n">
        <x:f>IF(G1011&lt;$B$6,1,0)</x:f>
        <x:v>1</x:v>
      </x:c>
      <x:c r="I1011" s="26" t="n">
        <x:f>H1011*IF(F1011=0,E1011*$B$7,-E1011*$B$8)</x:f>
        <x:v>1051.5216</x:v>
      </x:c>
    </x:row>
    <x:row r="1012">
      <x:c r="A1012" t="n">
        <x:v>5006</x:v>
      </x:c>
      <x:c r="B1012" t="str">
        <x:v>2024-09</x:v>
      </x:c>
      <x:c r="C1012" t="str">
        <x:v>Salaried</x:v>
      </x:c>
      <x:c r="D1012" t="str">
        <x:v>Group B</x:v>
      </x:c>
      <x:c r="E1012" s="26" t="n">
        <x:v>24511.54</x:v>
      </x:c>
      <x:c r="F1012" t="n">
        <x:v>0</x:v>
      </x:c>
      <x:c r="G1012" s="25" t="n">
        <x:v>0.272968</x:v>
      </x:c>
      <x:c r="H1012" t="n">
        <x:f>IF(G1012&lt;$B$6,1,0)</x:f>
        <x:v>0</x:v>
      </x:c>
      <x:c r="I1012" s="26" t="n">
        <x:f>H1012*IF(F1012=0,E1012*$B$7,-E1012*$B$8)</x:f>
        <x:v>0</x:v>
      </x:c>
    </x:row>
    <x:row r="1013">
      <x:c r="A1013" t="n">
        <x:v>5010</x:v>
      </x:c>
      <x:c r="B1013" t="str">
        <x:v>2024-09</x:v>
      </x:c>
      <x:c r="C1013" t="str">
        <x:v>Salaried</x:v>
      </x:c>
      <x:c r="D1013" t="str">
        <x:v>Group B</x:v>
      </x:c>
      <x:c r="E1013" s="26" t="n">
        <x:v>26863.4</x:v>
      </x:c>
      <x:c r="F1013" t="n">
        <x:v>0</x:v>
      </x:c>
      <x:c r="G1013" s="25" t="n">
        <x:v>0.145001</x:v>
      </x:c>
      <x:c r="H1013" t="n">
        <x:f>IF(G1013&lt;$B$6,1,0)</x:f>
        <x:v>1</x:v>
      </x:c>
      <x:c r="I1013" s="26" t="n">
        <x:f>H1013*IF(F1013=0,E1013*$B$7,-E1013*$B$8)</x:f>
        <x:v>3223.608</x:v>
      </x:c>
    </x:row>
    <x:row r="1014">
      <x:c r="A1014" t="n">
        <x:v>5031</x:v>
      </x:c>
      <x:c r="B1014" t="str">
        <x:v>2024-09</x:v>
      </x:c>
      <x:c r="C1014" t="str">
        <x:v>Salaried</x:v>
      </x:c>
      <x:c r="D1014" t="str">
        <x:v>Group A</x:v>
      </x:c>
      <x:c r="E1014" s="26" t="n">
        <x:v>8848.29</x:v>
      </x:c>
      <x:c r="F1014" t="n">
        <x:v>0</x:v>
      </x:c>
      <x:c r="G1014" s="25" t="n">
        <x:v>0.174711</x:v>
      </x:c>
      <x:c r="H1014" t="n">
        <x:f>IF(G1014&lt;$B$6,1,0)</x:f>
        <x:v>0</x:v>
      </x:c>
      <x:c r="I1014" s="26" t="n">
        <x:f>H1014*IF(F1014=0,E1014*$B$7,-E1014*$B$8)</x:f>
        <x:v>0</x:v>
      </x:c>
    </x:row>
    <x:row r="1015">
      <x:c r="A1015" t="n">
        <x:v>5090</x:v>
      </x:c>
      <x:c r="B1015" t="str">
        <x:v>2024-09</x:v>
      </x:c>
      <x:c r="C1015" t="str">
        <x:v>Contract</x:v>
      </x:c>
      <x:c r="D1015" t="str">
        <x:v>Group A</x:v>
      </x:c>
      <x:c r="E1015" s="26" t="n">
        <x:v>13452.32</x:v>
      </x:c>
      <x:c r="F1015" t="n">
        <x:v>0</x:v>
      </x:c>
      <x:c r="G1015" s="25" t="n">
        <x:v>0.538263</x:v>
      </x:c>
      <x:c r="H1015" t="n">
        <x:f>IF(G1015&lt;$B$6,1,0)</x:f>
        <x:v>0</x:v>
      </x:c>
      <x:c r="I1015" s="26" t="n">
        <x:f>H1015*IF(F1015=0,E1015*$B$7,-E1015*$B$8)</x:f>
        <x:v>0</x:v>
      </x:c>
    </x:row>
    <x:row r="1016">
      <x:c r="A1016" t="n">
        <x:v>5149</x:v>
      </x:c>
      <x:c r="B1016" t="str">
        <x:v>2024-09</x:v>
      </x:c>
      <x:c r="C1016" t="str">
        <x:v>Contract</x:v>
      </x:c>
      <x:c r="D1016" t="str">
        <x:v>Group A</x:v>
      </x:c>
      <x:c r="E1016" s="26" t="n">
        <x:v>26756.33</x:v>
      </x:c>
      <x:c r="F1016" t="n">
        <x:v>0</x:v>
      </x:c>
      <x:c r="G1016" s="25" t="n">
        <x:v>0.083417</x:v>
      </x:c>
      <x:c r="H1016" t="n">
        <x:f>IF(G1016&lt;$B$6,1,0)</x:f>
        <x:v>1</x:v>
      </x:c>
      <x:c r="I1016" s="26" t="n">
        <x:f>H1016*IF(F1016=0,E1016*$B$7,-E1016*$B$8)</x:f>
        <x:v>3210.7596</x:v>
      </x:c>
    </x:row>
    <x:row r="1017">
      <x:c r="A1017" t="n">
        <x:v>5262</x:v>
      </x:c>
      <x:c r="B1017" t="str">
        <x:v>2024-09</x:v>
      </x:c>
      <x:c r="C1017" t="str">
        <x:v>Contract</x:v>
      </x:c>
      <x:c r="D1017" t="str">
        <x:v>Group A</x:v>
      </x:c>
      <x:c r="E1017" s="26" t="n">
        <x:v>14421.23</x:v>
      </x:c>
      <x:c r="F1017" t="n">
        <x:v>0</x:v>
      </x:c>
      <x:c r="G1017" s="25" t="n">
        <x:v>0.137935</x:v>
      </x:c>
      <x:c r="H1017" t="n">
        <x:f>IF(G1017&lt;$B$6,1,0)</x:f>
        <x:v>1</x:v>
      </x:c>
      <x:c r="I1017" s="26" t="n">
        <x:f>H1017*IF(F1017=0,E1017*$B$7,-E1017*$B$8)</x:f>
        <x:v>1730.5475999999999</x:v>
      </x:c>
    </x:row>
    <x:row r="1018">
      <x:c r="A1018" t="n">
        <x:v>5332</x:v>
      </x:c>
      <x:c r="B1018" t="str">
        <x:v>2024-09</x:v>
      </x:c>
      <x:c r="C1018" t="str">
        <x:v>Self employed</x:v>
      </x:c>
      <x:c r="D1018" t="str">
        <x:v>Group B</x:v>
      </x:c>
      <x:c r="E1018" s="26" t="n">
        <x:v>5128.53</x:v>
      </x:c>
      <x:c r="F1018" t="n">
        <x:v>0</x:v>
      </x:c>
      <x:c r="G1018" s="25" t="n">
        <x:v>0.095276</x:v>
      </x:c>
      <x:c r="H1018" t="n">
        <x:f>IF(G1018&lt;$B$6,1,0)</x:f>
        <x:v>1</x:v>
      </x:c>
      <x:c r="I1018" s="26" t="n">
        <x:f>H1018*IF(F1018=0,E1018*$B$7,-E1018*$B$8)</x:f>
        <x:v>615.4236</x:v>
      </x:c>
    </x:row>
    <x:row r="1019">
      <x:c r="A1019" t="n">
        <x:v>5348</x:v>
      </x:c>
      <x:c r="B1019" t="str">
        <x:v>2024-09</x:v>
      </x:c>
      <x:c r="C1019" t="str">
        <x:v>Salaried</x:v>
      </x:c>
      <x:c r="D1019" t="str">
        <x:v>Group B</x:v>
      </x:c>
      <x:c r="E1019" s="26" t="n">
        <x:v>13646.21</x:v>
      </x:c>
      <x:c r="F1019" t="n">
        <x:v>1</x:v>
      </x:c>
      <x:c r="G1019" s="25" t="n">
        <x:v>0.337119</x:v>
      </x:c>
      <x:c r="H1019" t="n">
        <x:f>IF(G1019&lt;$B$6,1,0)</x:f>
        <x:v>0</x:v>
      </x:c>
      <x:c r="I1019" s="26" t="n">
        <x:f>H1019*IF(F1019=0,E1019*$B$7,-E1019*$B$8)</x:f>
        <x:v>0</x:v>
      </x:c>
    </x:row>
    <x:row r="1020">
      <x:c r="A1020" t="n">
        <x:v>5350</x:v>
      </x:c>
      <x:c r="B1020" t="str">
        <x:v>2024-09</x:v>
      </x:c>
      <x:c r="C1020" t="str">
        <x:v>Salaried</x:v>
      </x:c>
      <x:c r="D1020" t="str">
        <x:v>Group B</x:v>
      </x:c>
      <x:c r="E1020" s="26" t="n">
        <x:v>4391.45</x:v>
      </x:c>
      <x:c r="F1020" t="n">
        <x:v>0</x:v>
      </x:c>
      <x:c r="G1020" s="25" t="n">
        <x:v>0.302338</x:v>
      </x:c>
      <x:c r="H1020" t="n">
        <x:f>IF(G1020&lt;$B$6,1,0)</x:f>
        <x:v>0</x:v>
      </x:c>
      <x:c r="I1020" s="26" t="n">
        <x:f>H1020*IF(F1020=0,E1020*$B$7,-E1020*$B$8)</x:f>
        <x:v>0</x:v>
      </x:c>
    </x:row>
    <x:row r="1021">
      <x:c r="A1021" t="n">
        <x:v>5361</x:v>
      </x:c>
      <x:c r="B1021" t="str">
        <x:v>2024-09</x:v>
      </x:c>
      <x:c r="C1021" t="str">
        <x:v>Salaried</x:v>
      </x:c>
      <x:c r="D1021" t="str">
        <x:v>Group B</x:v>
      </x:c>
      <x:c r="E1021" s="26" t="n">
        <x:v>4489.45</x:v>
      </x:c>
      <x:c r="F1021" t="n">
        <x:v>0</x:v>
      </x:c>
      <x:c r="G1021" s="25" t="n">
        <x:v>0.513002</x:v>
      </x:c>
      <x:c r="H1021" t="n">
        <x:f>IF(G1021&lt;$B$6,1,0)</x:f>
        <x:v>0</x:v>
      </x:c>
      <x:c r="I1021" s="26" t="n">
        <x:f>H1021*IF(F1021=0,E1021*$B$7,-E1021*$B$8)</x:f>
        <x:v>0</x:v>
      </x:c>
    </x:row>
    <x:row r="1022">
      <x:c r="A1022" t="n">
        <x:v>5373</x:v>
      </x:c>
      <x:c r="B1022" t="str">
        <x:v>2024-09</x:v>
      </x:c>
      <x:c r="C1022" t="str">
        <x:v>Salaried</x:v>
      </x:c>
      <x:c r="D1022" t="str">
        <x:v>Group B</x:v>
      </x:c>
      <x:c r="E1022" s="26" t="n">
        <x:v>10311.44</x:v>
      </x:c>
      <x:c r="F1022" t="n">
        <x:v>0</x:v>
      </x:c>
      <x:c r="G1022" s="25" t="n">
        <x:v>0.095144</x:v>
      </x:c>
      <x:c r="H1022" t="n">
        <x:f>IF(G1022&lt;$B$6,1,0)</x:f>
        <x:v>1</x:v>
      </x:c>
      <x:c r="I1022" s="26" t="n">
        <x:f>H1022*IF(F1022=0,E1022*$B$7,-E1022*$B$8)</x:f>
        <x:v>1237.3728</x:v>
      </x:c>
    </x:row>
    <x:row r="1023">
      <x:c r="A1023" t="n">
        <x:v>5383</x:v>
      </x:c>
      <x:c r="B1023" t="str">
        <x:v>2024-09</x:v>
      </x:c>
      <x:c r="C1023" t="str">
        <x:v>Salaried</x:v>
      </x:c>
      <x:c r="D1023" t="str">
        <x:v>Group B</x:v>
      </x:c>
      <x:c r="E1023" s="26" t="n">
        <x:v>13061.11</x:v>
      </x:c>
      <x:c r="F1023" t="n">
        <x:v>0</x:v>
      </x:c>
      <x:c r="G1023" s="25" t="n">
        <x:v>0.483912</x:v>
      </x:c>
      <x:c r="H1023" t="n">
        <x:f>IF(G1023&lt;$B$6,1,0)</x:f>
        <x:v>0</x:v>
      </x:c>
      <x:c r="I1023" s="26" t="n">
        <x:f>H1023*IF(F1023=0,E1023*$B$7,-E1023*$B$8)</x:f>
        <x:v>0</x:v>
      </x:c>
    </x:row>
    <x:row r="1024">
      <x:c r="A1024" t="n">
        <x:v>5452</x:v>
      </x:c>
      <x:c r="B1024" t="str">
        <x:v>2024-09</x:v>
      </x:c>
      <x:c r="C1024" t="str">
        <x:v>Self employed</x:v>
      </x:c>
      <x:c r="D1024" t="str">
        <x:v>Group B</x:v>
      </x:c>
      <x:c r="E1024" s="26" t="n">
        <x:v>5132.92</x:v>
      </x:c>
      <x:c r="F1024" t="n">
        <x:v>0</x:v>
      </x:c>
      <x:c r="G1024" s="25" t="n">
        <x:v>0.024879</x:v>
      </x:c>
      <x:c r="H1024" t="n">
        <x:f>IF(G1024&lt;$B$6,1,0)</x:f>
        <x:v>1</x:v>
      </x:c>
      <x:c r="I1024" s="26" t="n">
        <x:f>H1024*IF(F1024=0,E1024*$B$7,-E1024*$B$8)</x:f>
        <x:v>615.9504</x:v>
      </x:c>
    </x:row>
    <x:row r="1025">
      <x:c r="A1025" t="n">
        <x:v>5460</x:v>
      </x:c>
      <x:c r="B1025" t="str">
        <x:v>2024-09</x:v>
      </x:c>
      <x:c r="C1025" t="str">
        <x:v>Self employed</x:v>
      </x:c>
      <x:c r="D1025" t="str">
        <x:v>Group A</x:v>
      </x:c>
      <x:c r="E1025" s="26" t="n">
        <x:v>15314.37</x:v>
      </x:c>
      <x:c r="F1025" t="n">
        <x:v>1</x:v>
      </x:c>
      <x:c r="G1025" s="25" t="n">
        <x:v>0.671312</x:v>
      </x:c>
      <x:c r="H1025" t="n">
        <x:f>IF(G1025&lt;$B$6,1,0)</x:f>
        <x:v>0</x:v>
      </x:c>
      <x:c r="I1025" s="26" t="n">
        <x:f>H1025*IF(F1025=0,E1025*$B$7,-E1025*$B$8)</x:f>
        <x:v>0</x:v>
      </x:c>
    </x:row>
    <x:row r="1026">
      <x:c r="A1026" t="n">
        <x:v>5463</x:v>
      </x:c>
      <x:c r="B1026" t="str">
        <x:v>2024-09</x:v>
      </x:c>
      <x:c r="C1026" t="str">
        <x:v>Contract</x:v>
      </x:c>
      <x:c r="D1026" t="str">
        <x:v>Group A</x:v>
      </x:c>
      <x:c r="E1026" s="26" t="n">
        <x:v>15062.9</x:v>
      </x:c>
      <x:c r="F1026" t="n">
        <x:v>0</x:v>
      </x:c>
      <x:c r="G1026" s="25" t="n">
        <x:v>0.058865</x:v>
      </x:c>
      <x:c r="H1026" t="n">
        <x:f>IF(G1026&lt;$B$6,1,0)</x:f>
        <x:v>1</x:v>
      </x:c>
      <x:c r="I1026" s="26" t="n">
        <x:f>H1026*IF(F1026=0,E1026*$B$7,-E1026*$B$8)</x:f>
        <x:v>1807.548</x:v>
      </x:c>
    </x:row>
    <x:row r="1027">
      <x:c r="A1027" t="n">
        <x:v>5466</x:v>
      </x:c>
      <x:c r="B1027" t="str">
        <x:v>2024-09</x:v>
      </x:c>
      <x:c r="C1027" t="str">
        <x:v>Salaried</x:v>
      </x:c>
      <x:c r="D1027" t="str">
        <x:v>Group A</x:v>
      </x:c>
      <x:c r="E1027" s="26" t="n">
        <x:v>4113.89</x:v>
      </x:c>
      <x:c r="F1027" t="n">
        <x:v>0</x:v>
      </x:c>
      <x:c r="G1027" s="25" t="n">
        <x:v>0.042441</x:v>
      </x:c>
      <x:c r="H1027" t="n">
        <x:f>IF(G1027&lt;$B$6,1,0)</x:f>
        <x:v>1</x:v>
      </x:c>
      <x:c r="I1027" s="26" t="n">
        <x:f>H1027*IF(F1027=0,E1027*$B$7,-E1027*$B$8)</x:f>
        <x:v>493.6668</x:v>
      </x:c>
    </x:row>
    <x:row r="1028">
      <x:c r="A1028" t="n">
        <x:v>5510</x:v>
      </x:c>
      <x:c r="B1028" t="str">
        <x:v>2024-09</x:v>
      </x:c>
      <x:c r="C1028" t="str">
        <x:v>Salaried</x:v>
      </x:c>
      <x:c r="D1028" t="str">
        <x:v>Group A</x:v>
      </x:c>
      <x:c r="E1028" s="26" t="n">
        <x:v>11984.63</x:v>
      </x:c>
      <x:c r="F1028" t="n">
        <x:v>0</x:v>
      </x:c>
      <x:c r="G1028" s="25" t="n">
        <x:v>0.064051</x:v>
      </x:c>
      <x:c r="H1028" t="n">
        <x:f>IF(G1028&lt;$B$6,1,0)</x:f>
        <x:v>1</x:v>
      </x:c>
      <x:c r="I1028" s="26" t="n">
        <x:f>H1028*IF(F1028=0,E1028*$B$7,-E1028*$B$8)</x:f>
        <x:v>1438.1555999999998</x:v>
      </x:c>
    </x:row>
    <x:row r="1029">
      <x:c r="A1029" t="n">
        <x:v>5521</x:v>
      </x:c>
      <x:c r="B1029" t="str">
        <x:v>2024-09</x:v>
      </x:c>
      <x:c r="C1029" t="str">
        <x:v>Self employed</x:v>
      </x:c>
      <x:c r="D1029" t="str">
        <x:v>Group B</x:v>
      </x:c>
      <x:c r="E1029" s="26" t="n">
        <x:v>7045.2</x:v>
      </x:c>
      <x:c r="F1029" t="n">
        <x:v>0</x:v>
      </x:c>
      <x:c r="G1029" s="25" t="n">
        <x:v>0.30646</x:v>
      </x:c>
      <x:c r="H1029" t="n">
        <x:f>IF(G1029&lt;$B$6,1,0)</x:f>
        <x:v>0</x:v>
      </x:c>
      <x:c r="I1029" s="26" t="n">
        <x:f>H1029*IF(F1029=0,E1029*$B$7,-E1029*$B$8)</x:f>
        <x:v>0</x:v>
      </x:c>
    </x:row>
    <x:row r="1030">
      <x:c r="A1030" t="n">
        <x:v>5524</x:v>
      </x:c>
      <x:c r="B1030" t="str">
        <x:v>2024-09</x:v>
      </x:c>
      <x:c r="C1030" t="str">
        <x:v>Contract</x:v>
      </x:c>
      <x:c r="D1030" t="str">
        <x:v>Group A</x:v>
      </x:c>
      <x:c r="E1030" s="26" t="n">
        <x:v>38990.3</x:v>
      </x:c>
      <x:c r="F1030" t="n">
        <x:v>0</x:v>
      </x:c>
      <x:c r="G1030" s="25" t="n">
        <x:v>0.237297</x:v>
      </x:c>
      <x:c r="H1030" t="n">
        <x:f>IF(G1030&lt;$B$6,1,0)</x:f>
        <x:v>0</x:v>
      </x:c>
      <x:c r="I1030" s="26" t="n">
        <x:f>H1030*IF(F1030=0,E1030*$B$7,-E1030*$B$8)</x:f>
        <x:v>0</x:v>
      </x:c>
    </x:row>
    <x:row r="1031">
      <x:c r="A1031" t="n">
        <x:v>5544</x:v>
      </x:c>
      <x:c r="B1031" t="str">
        <x:v>2024-09</x:v>
      </x:c>
      <x:c r="C1031" t="str">
        <x:v>Self employed</x:v>
      </x:c>
      <x:c r="D1031" t="str">
        <x:v>Group B</x:v>
      </x:c>
      <x:c r="E1031" s="26" t="n">
        <x:v>9895.73</x:v>
      </x:c>
      <x:c r="F1031" t="n">
        <x:v>0</x:v>
      </x:c>
      <x:c r="G1031" s="25" t="n">
        <x:v>0.37485</x:v>
      </x:c>
      <x:c r="H1031" t="n">
        <x:f>IF(G1031&lt;$B$6,1,0)</x:f>
        <x:v>0</x:v>
      </x:c>
      <x:c r="I1031" s="26" t="n">
        <x:f>H1031*IF(F1031=0,E1031*$B$7,-E1031*$B$8)</x:f>
        <x:v>0</x:v>
      </x:c>
    </x:row>
    <x:row r="1032">
      <x:c r="A1032" t="n">
        <x:v>5585</x:v>
      </x:c>
      <x:c r="B1032" t="str">
        <x:v>2024-09</x:v>
      </x:c>
      <x:c r="C1032" t="str">
        <x:v>Contract</x:v>
      </x:c>
      <x:c r="D1032" t="str">
        <x:v>Group A</x:v>
      </x:c>
      <x:c r="E1032" s="26" t="n">
        <x:v>13515.96</x:v>
      </x:c>
      <x:c r="F1032" t="n">
        <x:v>1</x:v>
      </x:c>
      <x:c r="G1032" s="25" t="n">
        <x:v>0.235543</x:v>
      </x:c>
      <x:c r="H1032" t="n">
        <x:f>IF(G1032&lt;$B$6,1,0)</x:f>
        <x:v>0</x:v>
      </x:c>
      <x:c r="I1032" s="26" t="n">
        <x:f>H1032*IF(F1032=0,E1032*$B$7,-E1032*$B$8)</x:f>
        <x:v>0</x:v>
      </x:c>
    </x:row>
    <x:row r="1033">
      <x:c r="A1033" t="n">
        <x:v>5613</x:v>
      </x:c>
      <x:c r="B1033" t="str">
        <x:v>2024-09</x:v>
      </x:c>
      <x:c r="C1033" t="str">
        <x:v>Self employed</x:v>
      </x:c>
      <x:c r="D1033" t="str">
        <x:v>Group A</x:v>
      </x:c>
      <x:c r="E1033" s="26" t="n">
        <x:v>33315.51</x:v>
      </x:c>
      <x:c r="F1033" t="n">
        <x:v>1</x:v>
      </x:c>
      <x:c r="G1033" s="25" t="n">
        <x:v>0.362486</x:v>
      </x:c>
      <x:c r="H1033" t="n">
        <x:f>IF(G1033&lt;$B$6,1,0)</x:f>
        <x:v>0</x:v>
      </x:c>
      <x:c r="I1033" s="26" t="n">
        <x:f>H1033*IF(F1033=0,E1033*$B$7,-E1033*$B$8)</x:f>
        <x:v>0</x:v>
      </x:c>
    </x:row>
    <x:row r="1034">
      <x:c r="A1034" t="n">
        <x:v>5660</x:v>
      </x:c>
      <x:c r="B1034" t="str">
        <x:v>2024-09</x:v>
      </x:c>
      <x:c r="C1034" t="str">
        <x:v>Salaried</x:v>
      </x:c>
      <x:c r="D1034" t="str">
        <x:v>Group A</x:v>
      </x:c>
      <x:c r="E1034" s="26" t="n">
        <x:v>14967.21</x:v>
      </x:c>
      <x:c r="F1034" t="n">
        <x:v>1</x:v>
      </x:c>
      <x:c r="G1034" s="25" t="n">
        <x:v>0.327922</x:v>
      </x:c>
      <x:c r="H1034" t="n">
        <x:f>IF(G1034&lt;$B$6,1,0)</x:f>
        <x:v>0</x:v>
      </x:c>
      <x:c r="I1034" s="26" t="n">
        <x:f>H1034*IF(F1034=0,E1034*$B$7,-E1034*$B$8)</x:f>
        <x:v>0</x:v>
      </x:c>
    </x:row>
    <x:row r="1035">
      <x:c r="A1035" t="n">
        <x:v>5698</x:v>
      </x:c>
      <x:c r="B1035" t="str">
        <x:v>2024-09</x:v>
      </x:c>
      <x:c r="C1035" t="str">
        <x:v>Salaried</x:v>
      </x:c>
      <x:c r="D1035" t="str">
        <x:v>Group A</x:v>
      </x:c>
      <x:c r="E1035" s="26" t="n">
        <x:v>17841.82</x:v>
      </x:c>
      <x:c r="F1035" t="n">
        <x:v>1</x:v>
      </x:c>
      <x:c r="G1035" s="25" t="n">
        <x:v>0.50822</x:v>
      </x:c>
      <x:c r="H1035" t="n">
        <x:f>IF(G1035&lt;$B$6,1,0)</x:f>
        <x:v>0</x:v>
      </x:c>
      <x:c r="I1035" s="26" t="n">
        <x:f>H1035*IF(F1035=0,E1035*$B$7,-E1035*$B$8)</x:f>
        <x:v>0</x:v>
      </x:c>
    </x:row>
    <x:row r="1036">
      <x:c r="A1036" t="n">
        <x:v>5725</x:v>
      </x:c>
      <x:c r="B1036" t="str">
        <x:v>2024-09</x:v>
      </x:c>
      <x:c r="C1036" t="str">
        <x:v>Salaried</x:v>
      </x:c>
      <x:c r="D1036" t="str">
        <x:v>Group B</x:v>
      </x:c>
      <x:c r="E1036" s="26" t="n">
        <x:v>5632.94</x:v>
      </x:c>
      <x:c r="F1036" t="n">
        <x:v>0</x:v>
      </x:c>
      <x:c r="G1036" s="25" t="n">
        <x:v>0.618466</x:v>
      </x:c>
      <x:c r="H1036" t="n">
        <x:f>IF(G1036&lt;$B$6,1,0)</x:f>
        <x:v>0</x:v>
      </x:c>
      <x:c r="I1036" s="26" t="n">
        <x:f>H1036*IF(F1036=0,E1036*$B$7,-E1036*$B$8)</x:f>
        <x:v>0</x:v>
      </x:c>
    </x:row>
    <x:row r="1037">
      <x:c r="A1037" t="n">
        <x:v>5727</x:v>
      </x:c>
      <x:c r="B1037" t="str">
        <x:v>2024-09</x:v>
      </x:c>
      <x:c r="C1037" t="str">
        <x:v>Self employed</x:v>
      </x:c>
      <x:c r="D1037" t="str">
        <x:v>Group A</x:v>
      </x:c>
      <x:c r="E1037" s="26" t="n">
        <x:v>14320.96</x:v>
      </x:c>
      <x:c r="F1037" t="n">
        <x:v>0</x:v>
      </x:c>
      <x:c r="G1037" s="25" t="n">
        <x:v>0.176851</x:v>
      </x:c>
      <x:c r="H1037" t="n">
        <x:f>IF(G1037&lt;$B$6,1,0)</x:f>
        <x:v>0</x:v>
      </x:c>
      <x:c r="I1037" s="26" t="n">
        <x:f>H1037*IF(F1037=0,E1037*$B$7,-E1037*$B$8)</x:f>
        <x:v>0</x:v>
      </x:c>
    </x:row>
    <x:row r="1038">
      <x:c r="A1038" t="n">
        <x:v>5775</x:v>
      </x:c>
      <x:c r="B1038" t="str">
        <x:v>2024-09</x:v>
      </x:c>
      <x:c r="C1038" t="str">
        <x:v>Salaried</x:v>
      </x:c>
      <x:c r="D1038" t="str">
        <x:v>Group B</x:v>
      </x:c>
      <x:c r="E1038" s="26" t="n">
        <x:v>34989.53</x:v>
      </x:c>
      <x:c r="F1038" t="n">
        <x:v>0</x:v>
      </x:c>
      <x:c r="G1038" s="25" t="n">
        <x:v>0.247658</x:v>
      </x:c>
      <x:c r="H1038" t="n">
        <x:f>IF(G1038&lt;$B$6,1,0)</x:f>
        <x:v>0</x:v>
      </x:c>
      <x:c r="I1038" s="26" t="n">
        <x:f>H1038*IF(F1038=0,E1038*$B$7,-E1038*$B$8)</x:f>
        <x:v>0</x:v>
      </x:c>
    </x:row>
    <x:row r="1039">
      <x:c r="A1039" t="n">
        <x:v>5903</x:v>
      </x:c>
      <x:c r="B1039" t="str">
        <x:v>2024-09</x:v>
      </x:c>
      <x:c r="C1039" t="str">
        <x:v>Contract</x:v>
      </x:c>
      <x:c r="D1039" t="str">
        <x:v>Group A</x:v>
      </x:c>
      <x:c r="E1039" s="26" t="n">
        <x:v>17274.18</x:v>
      </x:c>
      <x:c r="F1039" t="n">
        <x:v>0</x:v>
      </x:c>
      <x:c r="G1039" s="25" t="n">
        <x:v>0.215034</x:v>
      </x:c>
      <x:c r="H1039" t="n">
        <x:f>IF(G1039&lt;$B$6,1,0)</x:f>
        <x:v>0</x:v>
      </x:c>
      <x:c r="I1039" s="26" t="n">
        <x:f>H1039*IF(F1039=0,E1039*$B$7,-E1039*$B$8)</x:f>
        <x:v>0</x:v>
      </x:c>
    </x:row>
    <x:row r="1040">
      <x:c r="A1040" t="n">
        <x:v>5904</x:v>
      </x:c>
      <x:c r="B1040" t="str">
        <x:v>2024-09</x:v>
      </x:c>
      <x:c r="C1040" t="str">
        <x:v>Salaried</x:v>
      </x:c>
      <x:c r="D1040" t="str">
        <x:v>Group B</x:v>
      </x:c>
      <x:c r="E1040" s="26" t="n">
        <x:v>8838.33</x:v>
      </x:c>
      <x:c r="F1040" t="n">
        <x:v>0</x:v>
      </x:c>
      <x:c r="G1040" s="25" t="n">
        <x:v>0.048018</x:v>
      </x:c>
      <x:c r="H1040" t="n">
        <x:f>IF(G1040&lt;$B$6,1,0)</x:f>
        <x:v>1</x:v>
      </x:c>
      <x:c r="I1040" s="26" t="n">
        <x:f>H1040*IF(F1040=0,E1040*$B$7,-E1040*$B$8)</x:f>
        <x:v>1060.5996</x:v>
      </x:c>
    </x:row>
    <x:row r="1041">
      <x:c r="A1041" t="n">
        <x:v>5910</x:v>
      </x:c>
      <x:c r="B1041" t="str">
        <x:v>2024-09</x:v>
      </x:c>
      <x:c r="C1041" t="str">
        <x:v>Contract</x:v>
      </x:c>
      <x:c r="D1041" t="str">
        <x:v>Group B</x:v>
      </x:c>
      <x:c r="E1041" s="26" t="n">
        <x:v>16723.85</x:v>
      </x:c>
      <x:c r="F1041" t="n">
        <x:v>1</x:v>
      </x:c>
      <x:c r="G1041" s="25" t="n">
        <x:v>0.570647</x:v>
      </x:c>
      <x:c r="H1041" t="n">
        <x:f>IF(G1041&lt;$B$6,1,0)</x:f>
        <x:v>0</x:v>
      </x:c>
      <x:c r="I1041" s="26" t="n">
        <x:f>H1041*IF(F1041=0,E1041*$B$7,-E1041*$B$8)</x:f>
        <x:v>0</x:v>
      </x:c>
    </x:row>
    <x:row r="1042">
      <x:c r="A1042" t="n">
        <x:v>5928</x:v>
      </x:c>
      <x:c r="B1042" t="str">
        <x:v>2024-09</x:v>
      </x:c>
      <x:c r="C1042" t="str">
        <x:v>Salaried</x:v>
      </x:c>
      <x:c r="D1042" t="str">
        <x:v>Group A</x:v>
      </x:c>
      <x:c r="E1042" s="26" t="n">
        <x:v>27336.39</x:v>
      </x:c>
      <x:c r="F1042" t="n">
        <x:v>0</x:v>
      </x:c>
      <x:c r="G1042" s="25" t="n">
        <x:v>0.107717</x:v>
      </x:c>
      <x:c r="H1042" t="n">
        <x:f>IF(G1042&lt;$B$6,1,0)</x:f>
        <x:v>1</x:v>
      </x:c>
      <x:c r="I1042" s="26" t="n">
        <x:f>H1042*IF(F1042=0,E1042*$B$7,-E1042*$B$8)</x:f>
        <x:v>3280.3668</x:v>
      </x:c>
    </x:row>
    <x:row r="1043">
      <x:c r="A1043" t="n">
        <x:v>5969</x:v>
      </x:c>
      <x:c r="B1043" t="str">
        <x:v>2024-09</x:v>
      </x:c>
      <x:c r="C1043" t="str">
        <x:v>Salaried</x:v>
      </x:c>
      <x:c r="D1043" t="str">
        <x:v>Group B</x:v>
      </x:c>
      <x:c r="E1043" s="26" t="n">
        <x:v>17956.38</x:v>
      </x:c>
      <x:c r="F1043" t="n">
        <x:v>0</x:v>
      </x:c>
      <x:c r="G1043" s="25" t="n">
        <x:v>0.119377</x:v>
      </x:c>
      <x:c r="H1043" t="n">
        <x:f>IF(G1043&lt;$B$6,1,0)</x:f>
        <x:v>1</x:v>
      </x:c>
      <x:c r="I1043" s="26" t="n">
        <x:f>H1043*IF(F1043=0,E1043*$B$7,-E1043*$B$8)</x:f>
        <x:v>2154.7656</x:v>
      </x:c>
    </x:row>
    <x:row r="1044">
      <x:c r="A1044" t="n">
        <x:v>5990</x:v>
      </x:c>
      <x:c r="B1044" t="str">
        <x:v>2024-09</x:v>
      </x:c>
      <x:c r="C1044" t="str">
        <x:v>Self employed</x:v>
      </x:c>
      <x:c r="D1044" t="str">
        <x:v>Group A</x:v>
      </x:c>
      <x:c r="E1044" s="26" t="n">
        <x:v>33710.77</x:v>
      </x:c>
      <x:c r="F1044" t="n">
        <x:v>0</x:v>
      </x:c>
      <x:c r="G1044" s="25" t="n">
        <x:v>0.350495</x:v>
      </x:c>
      <x:c r="H1044" t="n">
        <x:f>IF(G1044&lt;$B$6,1,0)</x:f>
        <x:v>0</x:v>
      </x:c>
      <x:c r="I1044" s="26" t="n">
        <x:f>H1044*IF(F1044=0,E1044*$B$7,-E1044*$B$8)</x:f>
        <x:v>0</x:v>
      </x:c>
    </x:row>
    <x:row r="1045">
      <x:c r="A1045" t="n">
        <x:v>5998</x:v>
      </x:c>
      <x:c r="B1045" t="str">
        <x:v>2024-09</x:v>
      </x:c>
      <x:c r="C1045" t="str">
        <x:v>Salaried</x:v>
      </x:c>
      <x:c r="D1045" t="str">
        <x:v>Group A</x:v>
      </x:c>
      <x:c r="E1045" s="26" t="n">
        <x:v>42419.14</x:v>
      </x:c>
      <x:c r="F1045" t="n">
        <x:v>1</x:v>
      </x:c>
      <x:c r="G1045" s="25" t="n">
        <x:v>0.251406</x:v>
      </x:c>
      <x:c r="H1045" t="n">
        <x:f>IF(G1045&lt;$B$6,1,0)</x:f>
        <x:v>0</x:v>
      </x:c>
      <x:c r="I1045" s="26" t="n">
        <x:f>H1045*IF(F1045=0,E1045*$B$7,-E1045*$B$8)</x:f>
        <x:v>0</x:v>
      </x:c>
    </x:row>
    <x:row r="1046">
      <x:c r="A1046" t="n">
        <x:v>6062</x:v>
      </x:c>
      <x:c r="B1046" t="str">
        <x:v>2024-09</x:v>
      </x:c>
      <x:c r="C1046" t="str">
        <x:v>Salaried</x:v>
      </x:c>
      <x:c r="D1046" t="str">
        <x:v>Group A</x:v>
      </x:c>
      <x:c r="E1046" s="26" t="n">
        <x:v>7637.64</x:v>
      </x:c>
      <x:c r="F1046" t="n">
        <x:v>0</x:v>
      </x:c>
      <x:c r="G1046" s="25" t="n">
        <x:v>0.107116</x:v>
      </x:c>
      <x:c r="H1046" t="n">
        <x:f>IF(G1046&lt;$B$6,1,0)</x:f>
        <x:v>1</x:v>
      </x:c>
      <x:c r="I1046" s="26" t="n">
        <x:f>H1046*IF(F1046=0,E1046*$B$7,-E1046*$B$8)</x:f>
        <x:v>916.5168</x:v>
      </x:c>
    </x:row>
    <x:row r="1047">
      <x:c r="A1047" t="n">
        <x:v>6066</x:v>
      </x:c>
      <x:c r="B1047" t="str">
        <x:v>2024-09</x:v>
      </x:c>
      <x:c r="C1047" t="str">
        <x:v>Salaried</x:v>
      </x:c>
      <x:c r="D1047" t="str">
        <x:v>Group B</x:v>
      </x:c>
      <x:c r="E1047" s="26" t="n">
        <x:v>20167.25</x:v>
      </x:c>
      <x:c r="F1047" t="n">
        <x:v>0</x:v>
      </x:c>
      <x:c r="G1047" s="25" t="n">
        <x:v>0.032682</x:v>
      </x:c>
      <x:c r="H1047" t="n">
        <x:f>IF(G1047&lt;$B$6,1,0)</x:f>
        <x:v>1</x:v>
      </x:c>
      <x:c r="I1047" s="26" t="n">
        <x:f>H1047*IF(F1047=0,E1047*$B$7,-E1047*$B$8)</x:f>
        <x:v>2420.0699999999997</x:v>
      </x:c>
    </x:row>
    <x:row r="1048">
      <x:c r="A1048" t="n">
        <x:v>6072</x:v>
      </x:c>
      <x:c r="B1048" t="str">
        <x:v>2024-09</x:v>
      </x:c>
      <x:c r="C1048" t="str">
        <x:v>Self employed</x:v>
      </x:c>
      <x:c r="D1048" t="str">
        <x:v>Group B</x:v>
      </x:c>
      <x:c r="E1048" s="26" t="n">
        <x:v>13684.41</x:v>
      </x:c>
      <x:c r="F1048" t="n">
        <x:v>1</x:v>
      </x:c>
      <x:c r="G1048" s="25" t="n">
        <x:v>0.226599</x:v>
      </x:c>
      <x:c r="H1048" t="n">
        <x:f>IF(G1048&lt;$B$6,1,0)</x:f>
        <x:v>0</x:v>
      </x:c>
      <x:c r="I1048" s="26" t="n">
        <x:f>H1048*IF(F1048=0,E1048*$B$7,-E1048*$B$8)</x:f>
        <x:v>0</x:v>
      </x:c>
    </x:row>
    <x:row r="1049">
      <x:c r="A1049" t="n">
        <x:v>6091</x:v>
      </x:c>
      <x:c r="B1049" t="str">
        <x:v>2024-09</x:v>
      </x:c>
      <x:c r="C1049" t="str">
        <x:v>Salaried</x:v>
      </x:c>
      <x:c r="D1049" t="str">
        <x:v>Group A</x:v>
      </x:c>
      <x:c r="E1049" s="26" t="n">
        <x:v>3918.37</x:v>
      </x:c>
      <x:c r="F1049" t="n">
        <x:v>1</x:v>
      </x:c>
      <x:c r="G1049" s="25" t="n">
        <x:v>0.316219</x:v>
      </x:c>
      <x:c r="H1049" t="n">
        <x:f>IF(G1049&lt;$B$6,1,0)</x:f>
        <x:v>0</x:v>
      </x:c>
      <x:c r="I1049" s="26" t="n">
        <x:f>H1049*IF(F1049=0,E1049*$B$7,-E1049*$B$8)</x:f>
        <x:v>0</x:v>
      </x:c>
    </x:row>
    <x:row r="1050">
      <x:c r="A1050" t="n">
        <x:v>6124</x:v>
      </x:c>
      <x:c r="B1050" t="str">
        <x:v>2024-09</x:v>
      </x:c>
      <x:c r="C1050" t="str">
        <x:v>Salaried</x:v>
      </x:c>
      <x:c r="D1050" t="str">
        <x:v>Group A</x:v>
      </x:c>
      <x:c r="E1050" s="26" t="n">
        <x:v>20521.47</x:v>
      </x:c>
      <x:c r="F1050" t="n">
        <x:v>0</x:v>
      </x:c>
      <x:c r="G1050" s="25" t="n">
        <x:v>0.034095</x:v>
      </x:c>
      <x:c r="H1050" t="n">
        <x:f>IF(G1050&lt;$B$6,1,0)</x:f>
        <x:v>1</x:v>
      </x:c>
      <x:c r="I1050" s="26" t="n">
        <x:f>H1050*IF(F1050=0,E1050*$B$7,-E1050*$B$8)</x:f>
        <x:v>2462.5764</x:v>
      </x:c>
    </x:row>
    <x:row r="1051">
      <x:c r="A1051" t="n">
        <x:v>6134</x:v>
      </x:c>
      <x:c r="B1051" t="str">
        <x:v>2024-09</x:v>
      </x:c>
      <x:c r="C1051" t="str">
        <x:v>Salaried</x:v>
      </x:c>
      <x:c r="D1051" t="str">
        <x:v>Group B</x:v>
      </x:c>
      <x:c r="E1051" s="26" t="n">
        <x:v>24425.42</x:v>
      </x:c>
      <x:c r="F1051" t="n">
        <x:v>0</x:v>
      </x:c>
      <x:c r="G1051" s="25" t="n">
        <x:v>0.085478</x:v>
      </x:c>
      <x:c r="H1051" t="n">
        <x:f>IF(G1051&lt;$B$6,1,0)</x:f>
        <x:v>1</x:v>
      </x:c>
      <x:c r="I1051" s="26" t="n">
        <x:f>H1051*IF(F1051=0,E1051*$B$7,-E1051*$B$8)</x:f>
        <x:v>2931.0503999999996</x:v>
      </x:c>
    </x:row>
    <x:row r="1052">
      <x:c r="A1052" t="n">
        <x:v>6170</x:v>
      </x:c>
      <x:c r="B1052" t="str">
        <x:v>2024-09</x:v>
      </x:c>
      <x:c r="C1052" t="str">
        <x:v>Contract</x:v>
      </x:c>
      <x:c r="D1052" t="str">
        <x:v>Group B</x:v>
      </x:c>
      <x:c r="E1052" s="26" t="n">
        <x:v>9590.92</x:v>
      </x:c>
      <x:c r="F1052" t="n">
        <x:v>1</x:v>
      </x:c>
      <x:c r="G1052" s="25" t="n">
        <x:v>0.494586</x:v>
      </x:c>
      <x:c r="H1052" t="n">
        <x:f>IF(G1052&lt;$B$6,1,0)</x:f>
        <x:v>0</x:v>
      </x:c>
      <x:c r="I1052" s="26" t="n">
        <x:f>H1052*IF(F1052=0,E1052*$B$7,-E1052*$B$8)</x:f>
        <x:v>0</x:v>
      </x:c>
    </x:row>
    <x:row r="1053">
      <x:c r="A1053" t="n">
        <x:v>6187</x:v>
      </x:c>
      <x:c r="B1053" t="str">
        <x:v>2024-09</x:v>
      </x:c>
      <x:c r="C1053" t="str">
        <x:v>Salaried</x:v>
      </x:c>
      <x:c r="D1053" t="str">
        <x:v>Group A</x:v>
      </x:c>
      <x:c r="E1053" s="26" t="n">
        <x:v>16081.38</x:v>
      </x:c>
      <x:c r="F1053" t="n">
        <x:v>0</x:v>
      </x:c>
      <x:c r="G1053" s="25" t="n">
        <x:v>0.369003</x:v>
      </x:c>
      <x:c r="H1053" t="n">
        <x:f>IF(G1053&lt;$B$6,1,0)</x:f>
        <x:v>0</x:v>
      </x:c>
      <x:c r="I1053" s="26" t="n">
        <x:f>H1053*IF(F1053=0,E1053*$B$7,-E1053*$B$8)</x:f>
        <x:v>0</x:v>
      </x:c>
    </x:row>
    <x:row r="1054">
      <x:c r="A1054" t="n">
        <x:v>6203</x:v>
      </x:c>
      <x:c r="B1054" t="str">
        <x:v>2024-09</x:v>
      </x:c>
      <x:c r="C1054" t="str">
        <x:v>Salaried</x:v>
      </x:c>
      <x:c r="D1054" t="str">
        <x:v>Group A</x:v>
      </x:c>
      <x:c r="E1054" s="26" t="n">
        <x:v>35644.6</x:v>
      </x:c>
      <x:c r="F1054" t="n">
        <x:v>0</x:v>
      </x:c>
      <x:c r="G1054" s="25" t="n">
        <x:v>0.33047</x:v>
      </x:c>
      <x:c r="H1054" t="n">
        <x:f>IF(G1054&lt;$B$6,1,0)</x:f>
        <x:v>0</x:v>
      </x:c>
      <x:c r="I1054" s="26" t="n">
        <x:f>H1054*IF(F1054=0,E1054*$B$7,-E1054*$B$8)</x:f>
        <x:v>0</x:v>
      </x:c>
    </x:row>
    <x:row r="1055">
      <x:c r="A1055" t="n">
        <x:v>6252</x:v>
      </x:c>
      <x:c r="B1055" t="str">
        <x:v>2024-09</x:v>
      </x:c>
      <x:c r="C1055" t="str">
        <x:v>Salaried</x:v>
      </x:c>
      <x:c r="D1055" t="str">
        <x:v>Group B</x:v>
      </x:c>
      <x:c r="E1055" s="26" t="n">
        <x:v>9775.14</x:v>
      </x:c>
      <x:c r="F1055" t="n">
        <x:v>0</x:v>
      </x:c>
      <x:c r="G1055" s="25" t="n">
        <x:v>0.258381</x:v>
      </x:c>
      <x:c r="H1055" t="n">
        <x:f>IF(G1055&lt;$B$6,1,0)</x:f>
        <x:v>0</x:v>
      </x:c>
      <x:c r="I1055" s="26" t="n">
        <x:f>H1055*IF(F1055=0,E1055*$B$7,-E1055*$B$8)</x:f>
        <x:v>0</x:v>
      </x:c>
    </x:row>
    <x:row r="1056">
      <x:c r="A1056" t="n">
        <x:v>6257</x:v>
      </x:c>
      <x:c r="B1056" t="str">
        <x:v>2024-09</x:v>
      </x:c>
      <x:c r="C1056" t="str">
        <x:v>Self employed</x:v>
      </x:c>
      <x:c r="D1056" t="str">
        <x:v>Group B</x:v>
      </x:c>
      <x:c r="E1056" s="26" t="n">
        <x:v>20003.5</x:v>
      </x:c>
      <x:c r="F1056" t="n">
        <x:v>0</x:v>
      </x:c>
      <x:c r="G1056" s="25" t="n">
        <x:v>0.04435</x:v>
      </x:c>
      <x:c r="H1056" t="n">
        <x:f>IF(G1056&lt;$B$6,1,0)</x:f>
        <x:v>1</x:v>
      </x:c>
      <x:c r="I1056" s="26" t="n">
        <x:f>H1056*IF(F1056=0,E1056*$B$7,-E1056*$B$8)</x:f>
        <x:v>2400.42</x:v>
      </x:c>
    </x:row>
    <x:row r="1057">
      <x:c r="A1057" t="n">
        <x:v>6259</x:v>
      </x:c>
      <x:c r="B1057" t="str">
        <x:v>2024-09</x:v>
      </x:c>
      <x:c r="C1057" t="str">
        <x:v>Salaried</x:v>
      </x:c>
      <x:c r="D1057" t="str">
        <x:v>Group A</x:v>
      </x:c>
      <x:c r="E1057" s="26" t="n">
        <x:v>19066.73</x:v>
      </x:c>
      <x:c r="F1057" t="n">
        <x:v>0</x:v>
      </x:c>
      <x:c r="G1057" s="25" t="n">
        <x:v>0.067052</x:v>
      </x:c>
      <x:c r="H1057" t="n">
        <x:f>IF(G1057&lt;$B$6,1,0)</x:f>
        <x:v>1</x:v>
      </x:c>
      <x:c r="I1057" s="26" t="n">
        <x:f>H1057*IF(F1057=0,E1057*$B$7,-E1057*$B$8)</x:f>
        <x:v>2288.0076</x:v>
      </x:c>
    </x:row>
    <x:row r="1058">
      <x:c r="A1058" t="n">
        <x:v>6286</x:v>
      </x:c>
      <x:c r="B1058" t="str">
        <x:v>2024-09</x:v>
      </x:c>
      <x:c r="C1058" t="str">
        <x:v>Contract</x:v>
      </x:c>
      <x:c r="D1058" t="str">
        <x:v>Group A</x:v>
      </x:c>
      <x:c r="E1058" s="26" t="n">
        <x:v>8494.8</x:v>
      </x:c>
      <x:c r="F1058" t="n">
        <x:v>0</x:v>
      </x:c>
      <x:c r="G1058" s="25" t="n">
        <x:v>0.062373</x:v>
      </x:c>
      <x:c r="H1058" t="n">
        <x:f>IF(G1058&lt;$B$6,1,0)</x:f>
        <x:v>1</x:v>
      </x:c>
      <x:c r="I1058" s="26" t="n">
        <x:f>H1058*IF(F1058=0,E1058*$B$7,-E1058*$B$8)</x:f>
        <x:v>1019.3759999999999</x:v>
      </x:c>
    </x:row>
    <x:row r="1059">
      <x:c r="A1059" t="n">
        <x:v>6351</x:v>
      </x:c>
      <x:c r="B1059" t="str">
        <x:v>2024-09</x:v>
      </x:c>
      <x:c r="C1059" t="str">
        <x:v>Salaried</x:v>
      </x:c>
      <x:c r="D1059" t="str">
        <x:v>Group A</x:v>
      </x:c>
      <x:c r="E1059" s="26" t="n">
        <x:v>25653.63</x:v>
      </x:c>
      <x:c r="F1059" t="n">
        <x:v>0</x:v>
      </x:c>
      <x:c r="G1059" s="25" t="n">
        <x:v>0.611125</x:v>
      </x:c>
      <x:c r="H1059" t="n">
        <x:f>IF(G1059&lt;$B$6,1,0)</x:f>
        <x:v>0</x:v>
      </x:c>
      <x:c r="I1059" s="26" t="n">
        <x:f>H1059*IF(F1059=0,E1059*$B$7,-E1059*$B$8)</x:f>
        <x:v>0</x:v>
      </x:c>
    </x:row>
    <x:row r="1060">
      <x:c r="A1060" t="n">
        <x:v>6394</x:v>
      </x:c>
      <x:c r="B1060" t="str">
        <x:v>2024-09</x:v>
      </x:c>
      <x:c r="C1060" t="str">
        <x:v>Salaried</x:v>
      </x:c>
      <x:c r="D1060" t="str">
        <x:v>Group A</x:v>
      </x:c>
      <x:c r="E1060" s="26" t="n">
        <x:v>18471.64</x:v>
      </x:c>
      <x:c r="F1060" t="n">
        <x:v>1</x:v>
      </x:c>
      <x:c r="G1060" s="25" t="n">
        <x:v>0.081457</x:v>
      </x:c>
      <x:c r="H1060" t="n">
        <x:f>IF(G1060&lt;$B$6,1,0)</x:f>
        <x:v>1</x:v>
      </x:c>
      <x:c r="I1060" s="26" t="n">
        <x:f>H1060*IF(F1060=0,E1060*$B$7,-E1060*$B$8)</x:f>
        <x:v>-12006.566</x:v>
      </x:c>
    </x:row>
    <x:row r="1061">
      <x:c r="A1061" t="n">
        <x:v>6403</x:v>
      </x:c>
      <x:c r="B1061" t="str">
        <x:v>2024-09</x:v>
      </x:c>
      <x:c r="C1061" t="str">
        <x:v>Salaried</x:v>
      </x:c>
      <x:c r="D1061" t="str">
        <x:v>Group A</x:v>
      </x:c>
      <x:c r="E1061" s="26" t="n">
        <x:v>14899.84</x:v>
      </x:c>
      <x:c r="F1061" t="n">
        <x:v>0</x:v>
      </x:c>
      <x:c r="G1061" s="25" t="n">
        <x:v>0.058532</x:v>
      </x:c>
      <x:c r="H1061" t="n">
        <x:f>IF(G1061&lt;$B$6,1,0)</x:f>
        <x:v>1</x:v>
      </x:c>
      <x:c r="I1061" s="26" t="n">
        <x:f>H1061*IF(F1061=0,E1061*$B$7,-E1061*$B$8)</x:f>
        <x:v>1787.9808</x:v>
      </x:c>
    </x:row>
    <x:row r="1062">
      <x:c r="A1062" t="n">
        <x:v>6433</x:v>
      </x:c>
      <x:c r="B1062" t="str">
        <x:v>2024-09</x:v>
      </x:c>
      <x:c r="C1062" t="str">
        <x:v>Salaried</x:v>
      </x:c>
      <x:c r="D1062" t="str">
        <x:v>Group A</x:v>
      </x:c>
      <x:c r="E1062" s="26" t="n">
        <x:v>53661.02</x:v>
      </x:c>
      <x:c r="F1062" t="n">
        <x:v>0</x:v>
      </x:c>
      <x:c r="G1062" s="25" t="n">
        <x:v>0.667427</x:v>
      </x:c>
      <x:c r="H1062" t="n">
        <x:f>IF(G1062&lt;$B$6,1,0)</x:f>
        <x:v>0</x:v>
      </x:c>
      <x:c r="I1062" s="26" t="n">
        <x:f>H1062*IF(F1062=0,E1062*$B$7,-E1062*$B$8)</x:f>
        <x:v>0</x:v>
      </x:c>
    </x:row>
    <x:row r="1063">
      <x:c r="A1063" t="n">
        <x:v>6454</x:v>
      </x:c>
      <x:c r="B1063" t="str">
        <x:v>2024-09</x:v>
      </x:c>
      <x:c r="C1063" t="str">
        <x:v>Contract</x:v>
      </x:c>
      <x:c r="D1063" t="str">
        <x:v>Group B</x:v>
      </x:c>
      <x:c r="E1063" s="26" t="n">
        <x:v>24454.37</x:v>
      </x:c>
      <x:c r="F1063" t="n">
        <x:v>1</x:v>
      </x:c>
      <x:c r="G1063" s="25" t="n">
        <x:v>0.460802</x:v>
      </x:c>
      <x:c r="H1063" t="n">
        <x:f>IF(G1063&lt;$B$6,1,0)</x:f>
        <x:v>0</x:v>
      </x:c>
      <x:c r="I1063" s="26" t="n">
        <x:f>H1063*IF(F1063=0,E1063*$B$7,-E1063*$B$8)</x:f>
        <x:v>0</x:v>
      </x:c>
    </x:row>
    <x:row r="1064">
      <x:c r="A1064" t="n">
        <x:v>6479</x:v>
      </x:c>
      <x:c r="B1064" t="str">
        <x:v>2024-09</x:v>
      </x:c>
      <x:c r="C1064" t="str">
        <x:v>Salaried</x:v>
      </x:c>
      <x:c r="D1064" t="str">
        <x:v>Group A</x:v>
      </x:c>
      <x:c r="E1064" s="26" t="n">
        <x:v>60585.3</x:v>
      </x:c>
      <x:c r="F1064" t="n">
        <x:v>0</x:v>
      </x:c>
      <x:c r="G1064" s="25" t="n">
        <x:v>0.479093</x:v>
      </x:c>
      <x:c r="H1064" t="n">
        <x:f>IF(G1064&lt;$B$6,1,0)</x:f>
        <x:v>0</x:v>
      </x:c>
      <x:c r="I1064" s="26" t="n">
        <x:f>H1064*IF(F1064=0,E1064*$B$7,-E1064*$B$8)</x:f>
        <x:v>0</x:v>
      </x:c>
    </x:row>
    <x:row r="1065">
      <x:c r="A1065" t="n">
        <x:v>6510</x:v>
      </x:c>
      <x:c r="B1065" t="str">
        <x:v>2024-09</x:v>
      </x:c>
      <x:c r="C1065" t="str">
        <x:v>Salaried</x:v>
      </x:c>
      <x:c r="D1065" t="str">
        <x:v>Group A</x:v>
      </x:c>
      <x:c r="E1065" s="26" t="n">
        <x:v>7623.14</x:v>
      </x:c>
      <x:c r="F1065" t="n">
        <x:v>0</x:v>
      </x:c>
      <x:c r="G1065" s="25" t="n">
        <x:v>0.065919</x:v>
      </x:c>
      <x:c r="H1065" t="n">
        <x:f>IF(G1065&lt;$B$6,1,0)</x:f>
        <x:v>1</x:v>
      </x:c>
      <x:c r="I1065" s="26" t="n">
        <x:f>H1065*IF(F1065=0,E1065*$B$7,-E1065*$B$8)</x:f>
        <x:v>914.7768</x:v>
      </x:c>
    </x:row>
    <x:row r="1066">
      <x:c r="A1066" t="n">
        <x:v>6514</x:v>
      </x:c>
      <x:c r="B1066" t="str">
        <x:v>2024-09</x:v>
      </x:c>
      <x:c r="C1066" t="str">
        <x:v>Self employed</x:v>
      </x:c>
      <x:c r="D1066" t="str">
        <x:v>Group A</x:v>
      </x:c>
      <x:c r="E1066" s="26" t="n">
        <x:v>9909.17</x:v>
      </x:c>
      <x:c r="F1066" t="n">
        <x:v>1</x:v>
      </x:c>
      <x:c r="G1066" s="25" t="n">
        <x:v>0.41076</x:v>
      </x:c>
      <x:c r="H1066" t="n">
        <x:f>IF(G1066&lt;$B$6,1,0)</x:f>
        <x:v>0</x:v>
      </x:c>
      <x:c r="I1066" s="26" t="n">
        <x:f>H1066*IF(F1066=0,E1066*$B$7,-E1066*$B$8)</x:f>
        <x:v>0</x:v>
      </x:c>
    </x:row>
    <x:row r="1067">
      <x:c r="A1067" t="n">
        <x:v>6516</x:v>
      </x:c>
      <x:c r="B1067" t="str">
        <x:v>2024-09</x:v>
      </x:c>
      <x:c r="C1067" t="str">
        <x:v>Salaried</x:v>
      </x:c>
      <x:c r="D1067" t="str">
        <x:v>Group A</x:v>
      </x:c>
      <x:c r="E1067" s="26" t="n">
        <x:v>12559.09</x:v>
      </x:c>
      <x:c r="F1067" t="n">
        <x:v>0</x:v>
      </x:c>
      <x:c r="G1067" s="25" t="n">
        <x:v>0.072403</x:v>
      </x:c>
      <x:c r="H1067" t="n">
        <x:f>IF(G1067&lt;$B$6,1,0)</x:f>
        <x:v>1</x:v>
      </x:c>
      <x:c r="I1067" s="26" t="n">
        <x:f>H1067*IF(F1067=0,E1067*$B$7,-E1067*$B$8)</x:f>
        <x:v>1507.0908</x:v>
      </x:c>
    </x:row>
    <x:row r="1068">
      <x:c r="A1068" t="n">
        <x:v>6525</x:v>
      </x:c>
      <x:c r="B1068" t="str">
        <x:v>2024-09</x:v>
      </x:c>
      <x:c r="C1068" t="str">
        <x:v>Self employed</x:v>
      </x:c>
      <x:c r="D1068" t="str">
        <x:v>Group A</x:v>
      </x:c>
      <x:c r="E1068" s="26" t="n">
        <x:v>15044.72</x:v>
      </x:c>
      <x:c r="F1068" t="n">
        <x:v>0</x:v>
      </x:c>
      <x:c r="G1068" s="25" t="n">
        <x:v>0.195025</x:v>
      </x:c>
      <x:c r="H1068" t="n">
        <x:f>IF(G1068&lt;$B$6,1,0)</x:f>
        <x:v>0</x:v>
      </x:c>
      <x:c r="I1068" s="26" t="n">
        <x:f>H1068*IF(F1068=0,E1068*$B$7,-E1068*$B$8)</x:f>
        <x:v>0</x:v>
      </x:c>
    </x:row>
    <x:row r="1069">
      <x:c r="A1069" t="n">
        <x:v>6533</x:v>
      </x:c>
      <x:c r="B1069" t="str">
        <x:v>2024-09</x:v>
      </x:c>
      <x:c r="C1069" t="str">
        <x:v>Self employed</x:v>
      </x:c>
      <x:c r="D1069" t="str">
        <x:v>Group A</x:v>
      </x:c>
      <x:c r="E1069" s="26" t="n">
        <x:v>22795.85</x:v>
      </x:c>
      <x:c r="F1069" t="n">
        <x:v>1</x:v>
      </x:c>
      <x:c r="G1069" s="25" t="n">
        <x:v>0.195971</x:v>
      </x:c>
      <x:c r="H1069" t="n">
        <x:f>IF(G1069&lt;$B$6,1,0)</x:f>
        <x:v>0</x:v>
      </x:c>
      <x:c r="I1069" s="26" t="n">
        <x:f>H1069*IF(F1069=0,E1069*$B$7,-E1069*$B$8)</x:f>
        <x:v>0</x:v>
      </x:c>
    </x:row>
    <x:row r="1070">
      <x:c r="A1070" t="n">
        <x:v>6585</x:v>
      </x:c>
      <x:c r="B1070" t="str">
        <x:v>2024-09</x:v>
      </x:c>
      <x:c r="C1070" t="str">
        <x:v>Salaried</x:v>
      </x:c>
      <x:c r="D1070" t="str">
        <x:v>Group A</x:v>
      </x:c>
      <x:c r="E1070" s="26" t="n">
        <x:v>5328.4</x:v>
      </x:c>
      <x:c r="F1070" t="n">
        <x:v>0</x:v>
      </x:c>
      <x:c r="G1070" s="25" t="n">
        <x:v>0.089274</x:v>
      </x:c>
      <x:c r="H1070" t="n">
        <x:f>IF(G1070&lt;$B$6,1,0)</x:f>
        <x:v>1</x:v>
      </x:c>
      <x:c r="I1070" s="26" t="n">
        <x:f>H1070*IF(F1070=0,E1070*$B$7,-E1070*$B$8)</x:f>
        <x:v>639.4079999999999</x:v>
      </x:c>
    </x:row>
    <x:row r="1071">
      <x:c r="A1071" t="n">
        <x:v>6684</x:v>
      </x:c>
      <x:c r="B1071" t="str">
        <x:v>2024-09</x:v>
      </x:c>
      <x:c r="C1071" t="str">
        <x:v>Salaried</x:v>
      </x:c>
      <x:c r="D1071" t="str">
        <x:v>Group B</x:v>
      </x:c>
      <x:c r="E1071" s="26" t="n">
        <x:v>33988.33</x:v>
      </x:c>
      <x:c r="F1071" t="n">
        <x:v>0</x:v>
      </x:c>
      <x:c r="G1071" s="25" t="n">
        <x:v>0.202524</x:v>
      </x:c>
      <x:c r="H1071" t="n">
        <x:f>IF(G1071&lt;$B$6,1,0)</x:f>
        <x:v>0</x:v>
      </x:c>
      <x:c r="I1071" s="26" t="n">
        <x:f>H1071*IF(F1071=0,E1071*$B$7,-E1071*$B$8)</x:f>
        <x:v>0</x:v>
      </x:c>
    </x:row>
    <x:row r="1072">
      <x:c r="A1072" t="n">
        <x:v>6685</x:v>
      </x:c>
      <x:c r="B1072" t="str">
        <x:v>2024-09</x:v>
      </x:c>
      <x:c r="C1072" t="str">
        <x:v>Salaried</x:v>
      </x:c>
      <x:c r="D1072" t="str">
        <x:v>Group A</x:v>
      </x:c>
      <x:c r="E1072" s="26" t="n">
        <x:v>17775.93</x:v>
      </x:c>
      <x:c r="F1072" t="n">
        <x:v>0</x:v>
      </x:c>
      <x:c r="G1072" s="25" t="n">
        <x:v>0.233237</x:v>
      </x:c>
      <x:c r="H1072" t="n">
        <x:f>IF(G1072&lt;$B$6,1,0)</x:f>
        <x:v>0</x:v>
      </x:c>
      <x:c r="I1072" s="26" t="n">
        <x:f>H1072*IF(F1072=0,E1072*$B$7,-E1072*$B$8)</x:f>
        <x:v>0</x:v>
      </x:c>
    </x:row>
    <x:row r="1073">
      <x:c r="A1073" t="n">
        <x:v>6703</x:v>
      </x:c>
      <x:c r="B1073" t="str">
        <x:v>2024-09</x:v>
      </x:c>
      <x:c r="C1073" t="str">
        <x:v>Salaried</x:v>
      </x:c>
      <x:c r="D1073" t="str">
        <x:v>Group A</x:v>
      </x:c>
      <x:c r="E1073" s="26" t="n">
        <x:v>11771.77</x:v>
      </x:c>
      <x:c r="F1073" t="n">
        <x:v>1</x:v>
      </x:c>
      <x:c r="G1073" s="25" t="n">
        <x:v>0.593187</x:v>
      </x:c>
      <x:c r="H1073" t="n">
        <x:f>IF(G1073&lt;$B$6,1,0)</x:f>
        <x:v>0</x:v>
      </x:c>
      <x:c r="I1073" s="26" t="n">
        <x:f>H1073*IF(F1073=0,E1073*$B$7,-E1073*$B$8)</x:f>
        <x:v>0</x:v>
      </x:c>
    </x:row>
    <x:row r="1074">
      <x:c r="A1074" t="n">
        <x:v>6789</x:v>
      </x:c>
      <x:c r="B1074" t="str">
        <x:v>2024-09</x:v>
      </x:c>
      <x:c r="C1074" t="str">
        <x:v>Salaried</x:v>
      </x:c>
      <x:c r="D1074" t="str">
        <x:v>Group B</x:v>
      </x:c>
      <x:c r="E1074" s="26" t="n">
        <x:v>15895.86</x:v>
      </x:c>
      <x:c r="F1074" t="n">
        <x:v>1</x:v>
      </x:c>
      <x:c r="G1074" s="25" t="n">
        <x:v>0.619663</x:v>
      </x:c>
      <x:c r="H1074" t="n">
        <x:f>IF(G1074&lt;$B$6,1,0)</x:f>
        <x:v>0</x:v>
      </x:c>
      <x:c r="I1074" s="26" t="n">
        <x:f>H1074*IF(F1074=0,E1074*$B$7,-E1074*$B$8)</x:f>
        <x:v>0</x:v>
      </x:c>
    </x:row>
    <x:row r="1075">
      <x:c r="A1075" t="n">
        <x:v>6818</x:v>
      </x:c>
      <x:c r="B1075" t="str">
        <x:v>2024-09</x:v>
      </x:c>
      <x:c r="C1075" t="str">
        <x:v>Salaried</x:v>
      </x:c>
      <x:c r="D1075" t="str">
        <x:v>Group A</x:v>
      </x:c>
      <x:c r="E1075" s="26" t="n">
        <x:v>9997.1</x:v>
      </x:c>
      <x:c r="F1075" t="n">
        <x:v>0</x:v>
      </x:c>
      <x:c r="G1075" s="25" t="n">
        <x:v>0.084689</x:v>
      </x:c>
      <x:c r="H1075" t="n">
        <x:f>IF(G1075&lt;$B$6,1,0)</x:f>
        <x:v>1</x:v>
      </x:c>
      <x:c r="I1075" s="26" t="n">
        <x:f>H1075*IF(F1075=0,E1075*$B$7,-E1075*$B$8)</x:f>
        <x:v>1199.652</x:v>
      </x:c>
    </x:row>
    <x:row r="1076">
      <x:c r="A1076" t="n">
        <x:v>6819</x:v>
      </x:c>
      <x:c r="B1076" t="str">
        <x:v>2024-09</x:v>
      </x:c>
      <x:c r="C1076" t="str">
        <x:v>Self employed</x:v>
      </x:c>
      <x:c r="D1076" t="str">
        <x:v>Group A</x:v>
      </x:c>
      <x:c r="E1076" s="26" t="n">
        <x:v>13007.24</x:v>
      </x:c>
      <x:c r="F1076" t="n">
        <x:v>0</x:v>
      </x:c>
      <x:c r="G1076" s="25" t="n">
        <x:v>0.052502</x:v>
      </x:c>
      <x:c r="H1076" t="n">
        <x:f>IF(G1076&lt;$B$6,1,0)</x:f>
        <x:v>1</x:v>
      </x:c>
      <x:c r="I1076" s="26" t="n">
        <x:f>H1076*IF(F1076=0,E1076*$B$7,-E1076*$B$8)</x:f>
        <x:v>1560.8688</x:v>
      </x:c>
    </x:row>
    <x:row r="1077">
      <x:c r="A1077" t="n">
        <x:v>6838</x:v>
      </x:c>
      <x:c r="B1077" t="str">
        <x:v>2024-09</x:v>
      </x:c>
      <x:c r="C1077" t="str">
        <x:v>Contract</x:v>
      </x:c>
      <x:c r="D1077" t="str">
        <x:v>Group B</x:v>
      </x:c>
      <x:c r="E1077" s="26" t="n">
        <x:v>22275.05</x:v>
      </x:c>
      <x:c r="F1077" t="n">
        <x:v>0</x:v>
      </x:c>
      <x:c r="G1077" s="25" t="n">
        <x:v>0.16633</x:v>
      </x:c>
      <x:c r="H1077" t="n">
        <x:f>IF(G1077&lt;$B$6,1,0)</x:f>
        <x:v>0</x:v>
      </x:c>
      <x:c r="I1077" s="26" t="n">
        <x:f>H1077*IF(F1077=0,E1077*$B$7,-E1077*$B$8)</x:f>
        <x:v>0</x:v>
      </x:c>
    </x:row>
    <x:row r="1078">
      <x:c r="A1078" t="n">
        <x:v>6843</x:v>
      </x:c>
      <x:c r="B1078" t="str">
        <x:v>2024-09</x:v>
      </x:c>
      <x:c r="C1078" t="str">
        <x:v>Salaried</x:v>
      </x:c>
      <x:c r="D1078" t="str">
        <x:v>Group A</x:v>
      </x:c>
      <x:c r="E1078" s="26" t="n">
        <x:v>17813.05</x:v>
      </x:c>
      <x:c r="F1078" t="n">
        <x:v>0</x:v>
      </x:c>
      <x:c r="G1078" s="25" t="n">
        <x:v>0.148679</x:v>
      </x:c>
      <x:c r="H1078" t="n">
        <x:f>IF(G1078&lt;$B$6,1,0)</x:f>
        <x:v>1</x:v>
      </x:c>
      <x:c r="I1078" s="26" t="n">
        <x:f>H1078*IF(F1078=0,E1078*$B$7,-E1078*$B$8)</x:f>
        <x:v>2137.566</x:v>
      </x:c>
    </x:row>
    <x:row r="1079">
      <x:c r="A1079" t="n">
        <x:v>6884</x:v>
      </x:c>
      <x:c r="B1079" t="str">
        <x:v>2024-09</x:v>
      </x:c>
      <x:c r="C1079" t="str">
        <x:v>Salaried</x:v>
      </x:c>
      <x:c r="D1079" t="str">
        <x:v>Group B</x:v>
      </x:c>
      <x:c r="E1079" s="26" t="n">
        <x:v>19682.16</x:v>
      </x:c>
      <x:c r="F1079" t="n">
        <x:v>0</x:v>
      </x:c>
      <x:c r="G1079" s="25" t="n">
        <x:v>0.451614</x:v>
      </x:c>
      <x:c r="H1079" t="n">
        <x:f>IF(G1079&lt;$B$6,1,0)</x:f>
        <x:v>0</x:v>
      </x:c>
      <x:c r="I1079" s="26" t="n">
        <x:f>H1079*IF(F1079=0,E1079*$B$7,-E1079*$B$8)</x:f>
        <x:v>0</x:v>
      </x:c>
    </x:row>
    <x:row r="1080">
      <x:c r="A1080" t="n">
        <x:v>6920</x:v>
      </x:c>
      <x:c r="B1080" t="str">
        <x:v>2024-09</x:v>
      </x:c>
      <x:c r="C1080" t="str">
        <x:v>Salaried</x:v>
      </x:c>
      <x:c r="D1080" t="str">
        <x:v>Group A</x:v>
      </x:c>
      <x:c r="E1080" s="26" t="n">
        <x:v>21117.11</x:v>
      </x:c>
      <x:c r="F1080" t="n">
        <x:v>0</x:v>
      </x:c>
      <x:c r="G1080" s="25" t="n">
        <x:v>0.026674</x:v>
      </x:c>
      <x:c r="H1080" t="n">
        <x:f>IF(G1080&lt;$B$6,1,0)</x:f>
        <x:v>1</x:v>
      </x:c>
      <x:c r="I1080" s="26" t="n">
        <x:f>H1080*IF(F1080=0,E1080*$B$7,-E1080*$B$8)</x:f>
        <x:v>2534.0532</x:v>
      </x:c>
    </x:row>
    <x:row r="1081">
      <x:c r="A1081" t="n">
        <x:v>6930</x:v>
      </x:c>
      <x:c r="B1081" t="str">
        <x:v>2024-09</x:v>
      </x:c>
      <x:c r="C1081" t="str">
        <x:v>Self employed</x:v>
      </x:c>
      <x:c r="D1081" t="str">
        <x:v>Group B</x:v>
      </x:c>
      <x:c r="E1081" s="26" t="n">
        <x:v>6685.82</x:v>
      </x:c>
      <x:c r="F1081" t="n">
        <x:v>0</x:v>
      </x:c>
      <x:c r="G1081" s="25" t="n">
        <x:v>0.29561</x:v>
      </x:c>
      <x:c r="H1081" t="n">
        <x:f>IF(G1081&lt;$B$6,1,0)</x:f>
        <x:v>0</x:v>
      </x:c>
      <x:c r="I1081" s="26" t="n">
        <x:f>H1081*IF(F1081=0,E1081*$B$7,-E1081*$B$8)</x:f>
        <x:v>0</x:v>
      </x:c>
    </x:row>
    <x:row r="1082">
      <x:c r="A1082" t="n">
        <x:v>6936</x:v>
      </x:c>
      <x:c r="B1082" t="str">
        <x:v>2024-09</x:v>
      </x:c>
      <x:c r="C1082" t="str">
        <x:v>Self employed</x:v>
      </x:c>
      <x:c r="D1082" t="str">
        <x:v>Group B</x:v>
      </x:c>
      <x:c r="E1082" s="26" t="n">
        <x:v>6917.62</x:v>
      </x:c>
      <x:c r="F1082" t="n">
        <x:v>1</x:v>
      </x:c>
      <x:c r="G1082" s="25" t="n">
        <x:v>0.427649</x:v>
      </x:c>
      <x:c r="H1082" t="n">
        <x:f>IF(G1082&lt;$B$6,1,0)</x:f>
        <x:v>0</x:v>
      </x:c>
      <x:c r="I1082" s="26" t="n">
        <x:f>H1082*IF(F1082=0,E1082*$B$7,-E1082*$B$8)</x:f>
        <x:v>0</x:v>
      </x:c>
    </x:row>
    <x:row r="1083">
      <x:c r="A1083" t="n">
        <x:v>6949</x:v>
      </x:c>
      <x:c r="B1083" t="str">
        <x:v>2024-09</x:v>
      </x:c>
      <x:c r="C1083" t="str">
        <x:v>Salaried</x:v>
      </x:c>
      <x:c r="D1083" t="str">
        <x:v>Group A</x:v>
      </x:c>
      <x:c r="E1083" s="26" t="n">
        <x:v>50115.1</x:v>
      </x:c>
      <x:c r="F1083" t="n">
        <x:v>0</x:v>
      </x:c>
      <x:c r="G1083" s="25" t="n">
        <x:v>0.194697</x:v>
      </x:c>
      <x:c r="H1083" t="n">
        <x:f>IF(G1083&lt;$B$6,1,0)</x:f>
        <x:v>0</x:v>
      </x:c>
      <x:c r="I1083" s="26" t="n">
        <x:f>H1083*IF(F1083=0,E1083*$B$7,-E1083*$B$8)</x:f>
        <x:v>0</x:v>
      </x:c>
    </x:row>
    <x:row r="1084">
      <x:c r="A1084" t="n">
        <x:v>6961</x:v>
      </x:c>
      <x:c r="B1084" t="str">
        <x:v>2024-09</x:v>
      </x:c>
      <x:c r="C1084" t="str">
        <x:v>Salaried</x:v>
      </x:c>
      <x:c r="D1084" t="str">
        <x:v>Group A</x:v>
      </x:c>
      <x:c r="E1084" s="26" t="n">
        <x:v>8084.81</x:v>
      </x:c>
      <x:c r="F1084" t="n">
        <x:v>0</x:v>
      </x:c>
      <x:c r="G1084" s="25" t="n">
        <x:v>0.143912</x:v>
      </x:c>
      <x:c r="H1084" t="n">
        <x:f>IF(G1084&lt;$B$6,1,0)</x:f>
        <x:v>1</x:v>
      </x:c>
      <x:c r="I1084" s="26" t="n">
        <x:f>H1084*IF(F1084=0,E1084*$B$7,-E1084*$B$8)</x:f>
        <x:v>970.1772</x:v>
      </x:c>
    </x:row>
    <x:row r="1085">
      <x:c r="A1085" t="n">
        <x:v>6967</x:v>
      </x:c>
      <x:c r="B1085" t="str">
        <x:v>2024-09</x:v>
      </x:c>
      <x:c r="C1085" t="str">
        <x:v>Self employed</x:v>
      </x:c>
      <x:c r="D1085" t="str">
        <x:v>Group B</x:v>
      </x:c>
      <x:c r="E1085" s="26" t="n">
        <x:v>20955.92</x:v>
      </x:c>
      <x:c r="F1085" t="n">
        <x:v>0</x:v>
      </x:c>
      <x:c r="G1085" s="25" t="n">
        <x:v>0.104359</x:v>
      </x:c>
      <x:c r="H1085" t="n">
        <x:f>IF(G1085&lt;$B$6,1,0)</x:f>
        <x:v>1</x:v>
      </x:c>
      <x:c r="I1085" s="26" t="n">
        <x:f>H1085*IF(F1085=0,E1085*$B$7,-E1085*$B$8)</x:f>
        <x:v>2514.7103999999995</x:v>
      </x:c>
    </x:row>
    <x:row r="1086">
      <x:c r="A1086" t="n">
        <x:v>6972</x:v>
      </x:c>
      <x:c r="B1086" t="str">
        <x:v>2024-09</x:v>
      </x:c>
      <x:c r="C1086" t="str">
        <x:v>Contract</x:v>
      </x:c>
      <x:c r="D1086" t="str">
        <x:v>Group A</x:v>
      </x:c>
      <x:c r="E1086" s="26" t="n">
        <x:v>11764.49</x:v>
      </x:c>
      <x:c r="F1086" t="n">
        <x:v>0</x:v>
      </x:c>
      <x:c r="G1086" s="25" t="n">
        <x:v>0.420306</x:v>
      </x:c>
      <x:c r="H1086" t="n">
        <x:f>IF(G1086&lt;$B$6,1,0)</x:f>
        <x:v>0</x:v>
      </x:c>
      <x:c r="I1086" s="26" t="n">
        <x:f>H1086*IF(F1086=0,E1086*$B$7,-E1086*$B$8)</x:f>
        <x:v>0</x:v>
      </x:c>
    </x:row>
    <x:row r="1087">
      <x:c r="A1087" t="n">
        <x:v>7008</x:v>
      </x:c>
      <x:c r="B1087" t="str">
        <x:v>2024-09</x:v>
      </x:c>
      <x:c r="C1087" t="str">
        <x:v>Salaried</x:v>
      </x:c>
      <x:c r="D1087" t="str">
        <x:v>Group B</x:v>
      </x:c>
      <x:c r="E1087" s="26" t="n">
        <x:v>5436.67</x:v>
      </x:c>
      <x:c r="F1087" t="n">
        <x:v>0</x:v>
      </x:c>
      <x:c r="G1087" s="25" t="n">
        <x:v>0.051822</x:v>
      </x:c>
      <x:c r="H1087" t="n">
        <x:f>IF(G1087&lt;$B$6,1,0)</x:f>
        <x:v>1</x:v>
      </x:c>
      <x:c r="I1087" s="26" t="n">
        <x:f>H1087*IF(F1087=0,E1087*$B$7,-E1087*$B$8)</x:f>
        <x:v>652.4004</x:v>
      </x:c>
    </x:row>
    <x:row r="1088">
      <x:c r="A1088" t="n">
        <x:v>7020</x:v>
      </x:c>
      <x:c r="B1088" t="str">
        <x:v>2024-09</x:v>
      </x:c>
      <x:c r="C1088" t="str">
        <x:v>Self employed</x:v>
      </x:c>
      <x:c r="D1088" t="str">
        <x:v>Group A</x:v>
      </x:c>
      <x:c r="E1088" s="26" t="n">
        <x:v>22461.75</x:v>
      </x:c>
      <x:c r="F1088" t="n">
        <x:v>0</x:v>
      </x:c>
      <x:c r="G1088" s="25" t="n">
        <x:v>0.05738</x:v>
      </x:c>
      <x:c r="H1088" t="n">
        <x:f>IF(G1088&lt;$B$6,1,0)</x:f>
        <x:v>1</x:v>
      </x:c>
      <x:c r="I1088" s="26" t="n">
        <x:f>H1088*IF(F1088=0,E1088*$B$7,-E1088*$B$8)</x:f>
        <x:v>2695.41</x:v>
      </x:c>
    </x:row>
    <x:row r="1089">
      <x:c r="A1089" t="n">
        <x:v>7033</x:v>
      </x:c>
      <x:c r="B1089" t="str">
        <x:v>2024-09</x:v>
      </x:c>
      <x:c r="C1089" t="str">
        <x:v>Self employed</x:v>
      </x:c>
      <x:c r="D1089" t="str">
        <x:v>Group A</x:v>
      </x:c>
      <x:c r="E1089" s="26" t="n">
        <x:v>17897.82</x:v>
      </x:c>
      <x:c r="F1089" t="n">
        <x:v>1</x:v>
      </x:c>
      <x:c r="G1089" s="25" t="n">
        <x:v>0.199929</x:v>
      </x:c>
      <x:c r="H1089" t="n">
        <x:f>IF(G1089&lt;$B$6,1,0)</x:f>
        <x:v>0</x:v>
      </x:c>
      <x:c r="I1089" s="26" t="n">
        <x:f>H1089*IF(F1089=0,E1089*$B$7,-E1089*$B$8)</x:f>
        <x:v>0</x:v>
      </x:c>
    </x:row>
    <x:row r="1090">
      <x:c r="A1090" t="n">
        <x:v>7042</x:v>
      </x:c>
      <x:c r="B1090" t="str">
        <x:v>2024-09</x:v>
      </x:c>
      <x:c r="C1090" t="str">
        <x:v>Self employed</x:v>
      </x:c>
      <x:c r="D1090" t="str">
        <x:v>Group A</x:v>
      </x:c>
      <x:c r="E1090" s="26" t="n">
        <x:v>22310.04</x:v>
      </x:c>
      <x:c r="F1090" t="n">
        <x:v>0</x:v>
      </x:c>
      <x:c r="G1090" s="25" t="n">
        <x:v>0.301199</x:v>
      </x:c>
      <x:c r="H1090" t="n">
        <x:f>IF(G1090&lt;$B$6,1,0)</x:f>
        <x:v>0</x:v>
      </x:c>
      <x:c r="I1090" s="26" t="n">
        <x:f>H1090*IF(F1090=0,E1090*$B$7,-E1090*$B$8)</x:f>
        <x:v>0</x:v>
      </x:c>
    </x:row>
    <x:row r="1091">
      <x:c r="A1091" t="n">
        <x:v>7058</x:v>
      </x:c>
      <x:c r="B1091" t="str">
        <x:v>2024-09</x:v>
      </x:c>
      <x:c r="C1091" t="str">
        <x:v>Salaried</x:v>
      </x:c>
      <x:c r="D1091" t="str">
        <x:v>Group B</x:v>
      </x:c>
      <x:c r="E1091" s="26" t="n">
        <x:v>16380.73</x:v>
      </x:c>
      <x:c r="F1091" t="n">
        <x:v>1</x:v>
      </x:c>
      <x:c r="G1091" s="25" t="n">
        <x:v>0.325421</x:v>
      </x:c>
      <x:c r="H1091" t="n">
        <x:f>IF(G1091&lt;$B$6,1,0)</x:f>
        <x:v>0</x:v>
      </x:c>
      <x:c r="I1091" s="26" t="n">
        <x:f>H1091*IF(F1091=0,E1091*$B$7,-E1091*$B$8)</x:f>
        <x:v>0</x:v>
      </x:c>
    </x:row>
    <x:row r="1092">
      <x:c r="A1092" t="n">
        <x:v>7060</x:v>
      </x:c>
      <x:c r="B1092" t="str">
        <x:v>2024-09</x:v>
      </x:c>
      <x:c r="C1092" t="str">
        <x:v>Self employed</x:v>
      </x:c>
      <x:c r="D1092" t="str">
        <x:v>Group B</x:v>
      </x:c>
      <x:c r="E1092" s="26" t="n">
        <x:v>25657.33</x:v>
      </x:c>
      <x:c r="F1092" t="n">
        <x:v>1</x:v>
      </x:c>
      <x:c r="G1092" s="25" t="n">
        <x:v>0.620152</x:v>
      </x:c>
      <x:c r="H1092" t="n">
        <x:f>IF(G1092&lt;$B$6,1,0)</x:f>
        <x:v>0</x:v>
      </x:c>
      <x:c r="I1092" s="26" t="n">
        <x:f>H1092*IF(F1092=0,E1092*$B$7,-E1092*$B$8)</x:f>
        <x:v>0</x:v>
      </x:c>
    </x:row>
    <x:row r="1093">
      <x:c r="A1093" t="n">
        <x:v>7101</x:v>
      </x:c>
      <x:c r="B1093" t="str">
        <x:v>2024-09</x:v>
      </x:c>
      <x:c r="C1093" t="str">
        <x:v>Self employed</x:v>
      </x:c>
      <x:c r="D1093" t="str">
        <x:v>Group A</x:v>
      </x:c>
      <x:c r="E1093" s="26" t="n">
        <x:v>17745.82</x:v>
      </x:c>
      <x:c r="F1093" t="n">
        <x:v>0</x:v>
      </x:c>
      <x:c r="G1093" s="25" t="n">
        <x:v>0.066215</x:v>
      </x:c>
      <x:c r="H1093" t="n">
        <x:f>IF(G1093&lt;$B$6,1,0)</x:f>
        <x:v>1</x:v>
      </x:c>
      <x:c r="I1093" s="26" t="n">
        <x:f>H1093*IF(F1093=0,E1093*$B$7,-E1093*$B$8)</x:f>
        <x:v>2129.4984</x:v>
      </x:c>
    </x:row>
    <x:row r="1094">
      <x:c r="A1094" t="n">
        <x:v>7128</x:v>
      </x:c>
      <x:c r="B1094" t="str">
        <x:v>2024-09</x:v>
      </x:c>
      <x:c r="C1094" t="str">
        <x:v>Self employed</x:v>
      </x:c>
      <x:c r="D1094" t="str">
        <x:v>Group A</x:v>
      </x:c>
      <x:c r="E1094" s="26" t="n">
        <x:v>24349.81</x:v>
      </x:c>
      <x:c r="F1094" t="n">
        <x:v>0</x:v>
      </x:c>
      <x:c r="G1094" s="25" t="n">
        <x:v>0.092891</x:v>
      </x:c>
      <x:c r="H1094" t="n">
        <x:f>IF(G1094&lt;$B$6,1,0)</x:f>
        <x:v>1</x:v>
      </x:c>
      <x:c r="I1094" s="26" t="n">
        <x:f>H1094*IF(F1094=0,E1094*$B$7,-E1094*$B$8)</x:f>
        <x:v>2921.9772000000003</x:v>
      </x:c>
    </x:row>
    <x:row r="1095">
      <x:c r="A1095" t="n">
        <x:v>7155</x:v>
      </x:c>
      <x:c r="B1095" t="str">
        <x:v>2024-09</x:v>
      </x:c>
      <x:c r="C1095" t="str">
        <x:v>Salaried</x:v>
      </x:c>
      <x:c r="D1095" t="str">
        <x:v>Group A</x:v>
      </x:c>
      <x:c r="E1095" s="26" t="n">
        <x:v>6524.58</x:v>
      </x:c>
      <x:c r="F1095" t="n">
        <x:v>0</x:v>
      </x:c>
      <x:c r="G1095" s="25" t="n">
        <x:v>0.035442</x:v>
      </x:c>
      <x:c r="H1095" t="n">
        <x:f>IF(G1095&lt;$B$6,1,0)</x:f>
        <x:v>1</x:v>
      </x:c>
      <x:c r="I1095" s="26" t="n">
        <x:f>H1095*IF(F1095=0,E1095*$B$7,-E1095*$B$8)</x:f>
        <x:v>782.9495999999999</x:v>
      </x:c>
    </x:row>
    <x:row r="1096">
      <x:c r="A1096" t="n">
        <x:v>7184</x:v>
      </x:c>
      <x:c r="B1096" t="str">
        <x:v>2024-09</x:v>
      </x:c>
      <x:c r="C1096" t="str">
        <x:v>Salaried</x:v>
      </x:c>
      <x:c r="D1096" t="str">
        <x:v>Group A</x:v>
      </x:c>
      <x:c r="E1096" s="26" t="n">
        <x:v>12066.27</x:v>
      </x:c>
      <x:c r="F1096" t="n">
        <x:v>1</x:v>
      </x:c>
      <x:c r="G1096" s="25" t="n">
        <x:v>0.654697</x:v>
      </x:c>
      <x:c r="H1096" t="n">
        <x:f>IF(G1096&lt;$B$6,1,0)</x:f>
        <x:v>0</x:v>
      </x:c>
      <x:c r="I1096" s="26" t="n">
        <x:f>H1096*IF(F1096=0,E1096*$B$7,-E1096*$B$8)</x:f>
        <x:v>0</x:v>
      </x:c>
    </x:row>
    <x:row r="1097">
      <x:c r="A1097" t="n">
        <x:v>7207</x:v>
      </x:c>
      <x:c r="B1097" t="str">
        <x:v>2024-09</x:v>
      </x:c>
      <x:c r="C1097" t="str">
        <x:v>Salaried</x:v>
      </x:c>
      <x:c r="D1097" t="str">
        <x:v>Group A</x:v>
      </x:c>
      <x:c r="E1097" s="26" t="n">
        <x:v>26270.2</x:v>
      </x:c>
      <x:c r="F1097" t="n">
        <x:v>0</x:v>
      </x:c>
      <x:c r="G1097" s="25" t="n">
        <x:v>0.167243</x:v>
      </x:c>
      <x:c r="H1097" t="n">
        <x:f>IF(G1097&lt;$B$6,1,0)</x:f>
        <x:v>0</x:v>
      </x:c>
      <x:c r="I1097" s="26" t="n">
        <x:f>H1097*IF(F1097=0,E1097*$B$7,-E1097*$B$8)</x:f>
        <x:v>0</x:v>
      </x:c>
    </x:row>
    <x:row r="1098">
      <x:c r="A1098" t="n">
        <x:v>7223</x:v>
      </x:c>
      <x:c r="B1098" t="str">
        <x:v>2024-09</x:v>
      </x:c>
      <x:c r="C1098" t="str">
        <x:v>Self employed</x:v>
      </x:c>
      <x:c r="D1098" t="str">
        <x:v>Group A</x:v>
      </x:c>
      <x:c r="E1098" s="26" t="n">
        <x:v>12162.11</x:v>
      </x:c>
      <x:c r="F1098" t="n">
        <x:v>0</x:v>
      </x:c>
      <x:c r="G1098" s="25" t="n">
        <x:v>0.300177</x:v>
      </x:c>
      <x:c r="H1098" t="n">
        <x:f>IF(G1098&lt;$B$6,1,0)</x:f>
        <x:v>0</x:v>
      </x:c>
      <x:c r="I1098" s="26" t="n">
        <x:f>H1098*IF(F1098=0,E1098*$B$7,-E1098*$B$8)</x:f>
        <x:v>0</x:v>
      </x:c>
    </x:row>
    <x:row r="1099">
      <x:c r="A1099" t="n">
        <x:v>7224</x:v>
      </x:c>
      <x:c r="B1099" t="str">
        <x:v>2024-09</x:v>
      </x:c>
      <x:c r="C1099" t="str">
        <x:v>Contract</x:v>
      </x:c>
      <x:c r="D1099" t="str">
        <x:v>Group A</x:v>
      </x:c>
      <x:c r="E1099" s="26" t="n">
        <x:v>13331.8</x:v>
      </x:c>
      <x:c r="F1099" t="n">
        <x:v>0</x:v>
      </x:c>
      <x:c r="G1099" s="25" t="n">
        <x:v>0.036087</x:v>
      </x:c>
      <x:c r="H1099" t="n">
        <x:f>IF(G1099&lt;$B$6,1,0)</x:f>
        <x:v>1</x:v>
      </x:c>
      <x:c r="I1099" s="26" t="n">
        <x:f>H1099*IF(F1099=0,E1099*$B$7,-E1099*$B$8)</x:f>
        <x:v>1599.8159999999998</x:v>
      </x:c>
    </x:row>
    <x:row r="1100">
      <x:c r="A1100" t="n">
        <x:v>7247</x:v>
      </x:c>
      <x:c r="B1100" t="str">
        <x:v>2024-09</x:v>
      </x:c>
      <x:c r="C1100" t="str">
        <x:v>Self employed</x:v>
      </x:c>
      <x:c r="D1100" t="str">
        <x:v>Group B</x:v>
      </x:c>
      <x:c r="E1100" s="26" t="n">
        <x:v>19517.18</x:v>
      </x:c>
      <x:c r="F1100" t="n">
        <x:v>0</x:v>
      </x:c>
      <x:c r="G1100" s="25" t="n">
        <x:v>0.451515</x:v>
      </x:c>
      <x:c r="H1100" t="n">
        <x:f>IF(G1100&lt;$B$6,1,0)</x:f>
        <x:v>0</x:v>
      </x:c>
      <x:c r="I1100" s="26" t="n">
        <x:f>H1100*IF(F1100=0,E1100*$B$7,-E1100*$B$8)</x:f>
        <x:v>0</x:v>
      </x:c>
    </x:row>
    <x:row r="1101">
      <x:c r="A1101" t="n">
        <x:v>7303</x:v>
      </x:c>
      <x:c r="B1101" t="str">
        <x:v>2024-09</x:v>
      </x:c>
      <x:c r="C1101" t="str">
        <x:v>Salaried</x:v>
      </x:c>
      <x:c r="D1101" t="str">
        <x:v>Group B</x:v>
      </x:c>
      <x:c r="E1101" s="26" t="n">
        <x:v>17712.89</x:v>
      </x:c>
      <x:c r="F1101" t="n">
        <x:v>0</x:v>
      </x:c>
      <x:c r="G1101" s="25" t="n">
        <x:v>0.221818</x:v>
      </x:c>
      <x:c r="H1101" t="n">
        <x:f>IF(G1101&lt;$B$6,1,0)</x:f>
        <x:v>0</x:v>
      </x:c>
      <x:c r="I1101" s="26" t="n">
        <x:f>H1101*IF(F1101=0,E1101*$B$7,-E1101*$B$8)</x:f>
        <x:v>0</x:v>
      </x:c>
    </x:row>
    <x:row r="1102">
      <x:c r="A1102" t="n">
        <x:v>7324</x:v>
      </x:c>
      <x:c r="B1102" t="str">
        <x:v>2024-09</x:v>
      </x:c>
      <x:c r="C1102" t="str">
        <x:v>Salaried</x:v>
      </x:c>
      <x:c r="D1102" t="str">
        <x:v>Group B</x:v>
      </x:c>
      <x:c r="E1102" s="26" t="n">
        <x:v>35975.04</x:v>
      </x:c>
      <x:c r="F1102" t="n">
        <x:v>1</x:v>
      </x:c>
      <x:c r="G1102" s="25" t="n">
        <x:v>0.249551</x:v>
      </x:c>
      <x:c r="H1102" t="n">
        <x:f>IF(G1102&lt;$B$6,1,0)</x:f>
        <x:v>0</x:v>
      </x:c>
      <x:c r="I1102" s="26" t="n">
        <x:f>H1102*IF(F1102=0,E1102*$B$7,-E1102*$B$8)</x:f>
        <x:v>0</x:v>
      </x:c>
    </x:row>
    <x:row r="1103">
      <x:c r="A1103" t="n">
        <x:v>7348</x:v>
      </x:c>
      <x:c r="B1103" t="str">
        <x:v>2024-09</x:v>
      </x:c>
      <x:c r="C1103" t="str">
        <x:v>Salaried</x:v>
      </x:c>
      <x:c r="D1103" t="str">
        <x:v>Group B</x:v>
      </x:c>
      <x:c r="E1103" s="26" t="n">
        <x:v>17968.22</x:v>
      </x:c>
      <x:c r="F1103" t="n">
        <x:v>1</x:v>
      </x:c>
      <x:c r="G1103" s="25" t="n">
        <x:v>0.14257</x:v>
      </x:c>
      <x:c r="H1103" t="n">
        <x:f>IF(G1103&lt;$B$6,1,0)</x:f>
        <x:v>1</x:v>
      </x:c>
      <x:c r="I1103" s="26" t="n">
        <x:f>H1103*IF(F1103=0,E1103*$B$7,-E1103*$B$8)</x:f>
        <x:v>-11679.343</x:v>
      </x:c>
    </x:row>
    <x:row r="1104">
      <x:c r="A1104" t="n">
        <x:v>7384</x:v>
      </x:c>
      <x:c r="B1104" t="str">
        <x:v>2024-09</x:v>
      </x:c>
      <x:c r="C1104" t="str">
        <x:v>Salaried</x:v>
      </x:c>
      <x:c r="D1104" t="str">
        <x:v>Group A</x:v>
      </x:c>
      <x:c r="E1104" s="26" t="n">
        <x:v>4770.77</x:v>
      </x:c>
      <x:c r="F1104" t="n">
        <x:v>0</x:v>
      </x:c>
      <x:c r="G1104" s="25" t="n">
        <x:v>0.230555</x:v>
      </x:c>
      <x:c r="H1104" t="n">
        <x:f>IF(G1104&lt;$B$6,1,0)</x:f>
        <x:v>0</x:v>
      </x:c>
      <x:c r="I1104" s="26" t="n">
        <x:f>H1104*IF(F1104=0,E1104*$B$7,-E1104*$B$8)</x:f>
        <x:v>0</x:v>
      </x:c>
    </x:row>
    <x:row r="1105">
      <x:c r="A1105" t="n">
        <x:v>7386</x:v>
      </x:c>
      <x:c r="B1105" t="str">
        <x:v>2024-09</x:v>
      </x:c>
      <x:c r="C1105" t="str">
        <x:v>Contract</x:v>
      </x:c>
      <x:c r="D1105" t="str">
        <x:v>Group B</x:v>
      </x:c>
      <x:c r="E1105" s="26" t="n">
        <x:v>17935.49</x:v>
      </x:c>
      <x:c r="F1105" t="n">
        <x:v>0</x:v>
      </x:c>
      <x:c r="G1105" s="25" t="n">
        <x:v>0.074315</x:v>
      </x:c>
      <x:c r="H1105" t="n">
        <x:f>IF(G1105&lt;$B$6,1,0)</x:f>
        <x:v>1</x:v>
      </x:c>
      <x:c r="I1105" s="26" t="n">
        <x:f>H1105*IF(F1105=0,E1105*$B$7,-E1105*$B$8)</x:f>
        <x:v>2152.2588</x:v>
      </x:c>
    </x:row>
    <x:row r="1106">
      <x:c r="A1106" t="n">
        <x:v>7461</x:v>
      </x:c>
      <x:c r="B1106" t="str">
        <x:v>2024-09</x:v>
      </x:c>
      <x:c r="C1106" t="str">
        <x:v>Contract</x:v>
      </x:c>
      <x:c r="D1106" t="str">
        <x:v>Group A</x:v>
      </x:c>
      <x:c r="E1106" s="26" t="n">
        <x:v>13038.68</x:v>
      </x:c>
      <x:c r="F1106" t="n">
        <x:v>0</x:v>
      </x:c>
      <x:c r="G1106" s="25" t="n">
        <x:v>0.081146</x:v>
      </x:c>
      <x:c r="H1106" t="n">
        <x:f>IF(G1106&lt;$B$6,1,0)</x:f>
        <x:v>1</x:v>
      </x:c>
      <x:c r="I1106" s="26" t="n">
        <x:f>H1106*IF(F1106=0,E1106*$B$7,-E1106*$B$8)</x:f>
        <x:v>1564.6416</x:v>
      </x:c>
    </x:row>
    <x:row r="1107">
      <x:c r="A1107" t="n">
        <x:v>7498</x:v>
      </x:c>
      <x:c r="B1107" t="str">
        <x:v>2024-09</x:v>
      </x:c>
      <x:c r="C1107" t="str">
        <x:v>Self employed</x:v>
      </x:c>
      <x:c r="D1107" t="str">
        <x:v>Group A</x:v>
      </x:c>
      <x:c r="E1107" s="26" t="n">
        <x:v>6704.64</x:v>
      </x:c>
      <x:c r="F1107" t="n">
        <x:v>1</x:v>
      </x:c>
      <x:c r="G1107" s="25" t="n">
        <x:v>0.549387</x:v>
      </x:c>
      <x:c r="H1107" t="n">
        <x:f>IF(G1107&lt;$B$6,1,0)</x:f>
        <x:v>0</x:v>
      </x:c>
      <x:c r="I1107" s="26" t="n">
        <x:f>H1107*IF(F1107=0,E1107*$B$7,-E1107*$B$8)</x:f>
        <x:v>0</x:v>
      </x:c>
    </x:row>
    <x:row r="1108">
      <x:c r="A1108" t="n">
        <x:v>7530</x:v>
      </x:c>
      <x:c r="B1108" t="str">
        <x:v>2024-09</x:v>
      </x:c>
      <x:c r="C1108" t="str">
        <x:v>Salaried</x:v>
      </x:c>
      <x:c r="D1108" t="str">
        <x:v>Group A</x:v>
      </x:c>
      <x:c r="E1108" s="26" t="n">
        <x:v>27224.89</x:v>
      </x:c>
      <x:c r="F1108" t="n">
        <x:v>0</x:v>
      </x:c>
      <x:c r="G1108" s="25" t="n">
        <x:v>0.264573</x:v>
      </x:c>
      <x:c r="H1108" t="n">
        <x:f>IF(G1108&lt;$B$6,1,0)</x:f>
        <x:v>0</x:v>
      </x:c>
      <x:c r="I1108" s="26" t="n">
        <x:f>H1108*IF(F1108=0,E1108*$B$7,-E1108*$B$8)</x:f>
        <x:v>0</x:v>
      </x:c>
    </x:row>
    <x:row r="1109">
      <x:c r="A1109" t="n">
        <x:v>7546</x:v>
      </x:c>
      <x:c r="B1109" t="str">
        <x:v>2024-09</x:v>
      </x:c>
      <x:c r="C1109" t="str">
        <x:v>Salaried</x:v>
      </x:c>
      <x:c r="D1109" t="str">
        <x:v>Group B</x:v>
      </x:c>
      <x:c r="E1109" s="26" t="n">
        <x:v>9780.55</x:v>
      </x:c>
      <x:c r="F1109" t="n">
        <x:v>0</x:v>
      </x:c>
      <x:c r="G1109" s="25" t="n">
        <x:v>0.11622</x:v>
      </x:c>
      <x:c r="H1109" t="n">
        <x:f>IF(G1109&lt;$B$6,1,0)</x:f>
        <x:v>1</x:v>
      </x:c>
      <x:c r="I1109" s="26" t="n">
        <x:f>H1109*IF(F1109=0,E1109*$B$7,-E1109*$B$8)</x:f>
        <x:v>1173.666</x:v>
      </x:c>
    </x:row>
    <x:row r="1110">
      <x:c r="A1110" t="n">
        <x:v>7550</x:v>
      </x:c>
      <x:c r="B1110" t="str">
        <x:v>2024-09</x:v>
      </x:c>
      <x:c r="C1110" t="str">
        <x:v>Salaried</x:v>
      </x:c>
      <x:c r="D1110" t="str">
        <x:v>Group B</x:v>
      </x:c>
      <x:c r="E1110" s="26" t="n">
        <x:v>13402.28</x:v>
      </x:c>
      <x:c r="F1110" t="n">
        <x:v>0</x:v>
      </x:c>
      <x:c r="G1110" s="25" t="n">
        <x:v>0.101062</x:v>
      </x:c>
      <x:c r="H1110" t="n">
        <x:f>IF(G1110&lt;$B$6,1,0)</x:f>
        <x:v>1</x:v>
      </x:c>
      <x:c r="I1110" s="26" t="n">
        <x:f>H1110*IF(F1110=0,E1110*$B$7,-E1110*$B$8)</x:f>
        <x:v>1608.2736</x:v>
      </x:c>
    </x:row>
    <x:row r="1111">
      <x:c r="A1111" t="n">
        <x:v>7564</x:v>
      </x:c>
      <x:c r="B1111" t="str">
        <x:v>2024-09</x:v>
      </x:c>
      <x:c r="C1111" t="str">
        <x:v>Salaried</x:v>
      </x:c>
      <x:c r="D1111" t="str">
        <x:v>Group B</x:v>
      </x:c>
      <x:c r="E1111" s="26" t="n">
        <x:v>7559.93</x:v>
      </x:c>
      <x:c r="F1111" t="n">
        <x:v>0</x:v>
      </x:c>
      <x:c r="G1111" s="25" t="n">
        <x:v>0.167504</x:v>
      </x:c>
      <x:c r="H1111" t="n">
        <x:f>IF(G1111&lt;$B$6,1,0)</x:f>
        <x:v>0</x:v>
      </x:c>
      <x:c r="I1111" s="26" t="n">
        <x:f>H1111*IF(F1111=0,E1111*$B$7,-E1111*$B$8)</x:f>
        <x:v>0</x:v>
      </x:c>
    </x:row>
    <x:row r="1112">
      <x:c r="A1112" t="n">
        <x:v>7579</x:v>
      </x:c>
      <x:c r="B1112" t="str">
        <x:v>2024-09</x:v>
      </x:c>
      <x:c r="C1112" t="str">
        <x:v>Salaried</x:v>
      </x:c>
      <x:c r="D1112" t="str">
        <x:v>Group B</x:v>
      </x:c>
      <x:c r="E1112" s="26" t="n">
        <x:v>8542.57</x:v>
      </x:c>
      <x:c r="F1112" t="n">
        <x:v>1</x:v>
      </x:c>
      <x:c r="G1112" s="25" t="n">
        <x:v>0.154872</x:v>
      </x:c>
      <x:c r="H1112" t="n">
        <x:f>IF(G1112&lt;$B$6,1,0)</x:f>
        <x:v>1</x:v>
      </x:c>
      <x:c r="I1112" s="26" t="n">
        <x:f>H1112*IF(F1112=0,E1112*$B$7,-E1112*$B$8)</x:f>
        <x:v>-5552.6705</x:v>
      </x:c>
    </x:row>
    <x:row r="1113">
      <x:c r="A1113" t="n">
        <x:v>7605</x:v>
      </x:c>
      <x:c r="B1113" t="str">
        <x:v>2024-09</x:v>
      </x:c>
      <x:c r="C1113" t="str">
        <x:v>Salaried</x:v>
      </x:c>
      <x:c r="D1113" t="str">
        <x:v>Group B</x:v>
      </x:c>
      <x:c r="E1113" s="26" t="n">
        <x:v>10105.27</x:v>
      </x:c>
      <x:c r="F1113" t="n">
        <x:v>0</x:v>
      </x:c>
      <x:c r="G1113" s="25" t="n">
        <x:v>0.154303</x:v>
      </x:c>
      <x:c r="H1113" t="n">
        <x:f>IF(G1113&lt;$B$6,1,0)</x:f>
        <x:v>1</x:v>
      </x:c>
      <x:c r="I1113" s="26" t="n">
        <x:f>H1113*IF(F1113=0,E1113*$B$7,-E1113*$B$8)</x:f>
        <x:v>1212.6324</x:v>
      </x:c>
    </x:row>
    <x:row r="1114">
      <x:c r="A1114" t="n">
        <x:v>7624</x:v>
      </x:c>
      <x:c r="B1114" t="str">
        <x:v>2024-09</x:v>
      </x:c>
      <x:c r="C1114" t="str">
        <x:v>Salaried</x:v>
      </x:c>
      <x:c r="D1114" t="str">
        <x:v>Group B</x:v>
      </x:c>
      <x:c r="E1114" s="26" t="n">
        <x:v>9645.16</x:v>
      </x:c>
      <x:c r="F1114" t="n">
        <x:v>1</x:v>
      </x:c>
      <x:c r="G1114" s="25" t="n">
        <x:v>0.330563</x:v>
      </x:c>
      <x:c r="H1114" t="n">
        <x:f>IF(G1114&lt;$B$6,1,0)</x:f>
        <x:v>0</x:v>
      </x:c>
      <x:c r="I1114" s="26" t="n">
        <x:f>H1114*IF(F1114=0,E1114*$B$7,-E1114*$B$8)</x:f>
        <x:v>0</x:v>
      </x:c>
    </x:row>
    <x:row r="1115">
      <x:c r="A1115" t="n">
        <x:v>7626</x:v>
      </x:c>
      <x:c r="B1115" t="str">
        <x:v>2024-09</x:v>
      </x:c>
      <x:c r="C1115" t="str">
        <x:v>Salaried</x:v>
      </x:c>
      <x:c r="D1115" t="str">
        <x:v>Group B</x:v>
      </x:c>
      <x:c r="E1115" s="26" t="n">
        <x:v>58672.56</x:v>
      </x:c>
      <x:c r="F1115" t="n">
        <x:v>1</x:v>
      </x:c>
      <x:c r="G1115" s="25" t="n">
        <x:v>0.40434</x:v>
      </x:c>
      <x:c r="H1115" t="n">
        <x:f>IF(G1115&lt;$B$6,1,0)</x:f>
        <x:v>0</x:v>
      </x:c>
      <x:c r="I1115" s="26" t="n">
        <x:f>H1115*IF(F1115=0,E1115*$B$7,-E1115*$B$8)</x:f>
        <x:v>0</x:v>
      </x:c>
    </x:row>
    <x:row r="1116">
      <x:c r="A1116" t="n">
        <x:v>7637</x:v>
      </x:c>
      <x:c r="B1116" t="str">
        <x:v>2024-09</x:v>
      </x:c>
      <x:c r="C1116" t="str">
        <x:v>Salaried</x:v>
      </x:c>
      <x:c r="D1116" t="str">
        <x:v>Group A</x:v>
      </x:c>
      <x:c r="E1116" s="26" t="n">
        <x:v>13823.93</x:v>
      </x:c>
      <x:c r="F1116" t="n">
        <x:v>0</x:v>
      </x:c>
      <x:c r="G1116" s="25" t="n">
        <x:v>0.105009</x:v>
      </x:c>
      <x:c r="H1116" t="n">
        <x:f>IF(G1116&lt;$B$6,1,0)</x:f>
        <x:v>1</x:v>
      </x:c>
      <x:c r="I1116" s="26" t="n">
        <x:f>H1116*IF(F1116=0,E1116*$B$7,-E1116*$B$8)</x:f>
        <x:v>1658.8716</x:v>
      </x:c>
    </x:row>
    <x:row r="1117">
      <x:c r="A1117" t="n">
        <x:v>7653</x:v>
      </x:c>
      <x:c r="B1117" t="str">
        <x:v>2024-09</x:v>
      </x:c>
      <x:c r="C1117" t="str">
        <x:v>Salaried</x:v>
      </x:c>
      <x:c r="D1117" t="str">
        <x:v>Group B</x:v>
      </x:c>
      <x:c r="E1117" s="26" t="n">
        <x:v>20120.74</x:v>
      </x:c>
      <x:c r="F1117" t="n">
        <x:v>0</x:v>
      </x:c>
      <x:c r="G1117" s="25" t="n">
        <x:v>0.099257</x:v>
      </x:c>
      <x:c r="H1117" t="n">
        <x:f>IF(G1117&lt;$B$6,1,0)</x:f>
        <x:v>1</x:v>
      </x:c>
      <x:c r="I1117" s="26" t="n">
        <x:f>H1117*IF(F1117=0,E1117*$B$7,-E1117*$B$8)</x:f>
        <x:v>2414.4888</x:v>
      </x:c>
    </x:row>
    <x:row r="1118">
      <x:c r="A1118" t="n">
        <x:v>7693</x:v>
      </x:c>
      <x:c r="B1118" t="str">
        <x:v>2024-09</x:v>
      </x:c>
      <x:c r="C1118" t="str">
        <x:v>Salaried</x:v>
      </x:c>
      <x:c r="D1118" t="str">
        <x:v>Group A</x:v>
      </x:c>
      <x:c r="E1118" s="26" t="n">
        <x:v>9465.04</x:v>
      </x:c>
      <x:c r="F1118" t="n">
        <x:v>1</x:v>
      </x:c>
      <x:c r="G1118" s="25" t="n">
        <x:v>0.24543</x:v>
      </x:c>
      <x:c r="H1118" t="n">
        <x:f>IF(G1118&lt;$B$6,1,0)</x:f>
        <x:v>0</x:v>
      </x:c>
      <x:c r="I1118" s="26" t="n">
        <x:f>H1118*IF(F1118=0,E1118*$B$7,-E1118*$B$8)</x:f>
        <x:v>0</x:v>
      </x:c>
    </x:row>
    <x:row r="1119">
      <x:c r="A1119" t="n">
        <x:v>7745</x:v>
      </x:c>
      <x:c r="B1119" t="str">
        <x:v>2024-09</x:v>
      </x:c>
      <x:c r="C1119" t="str">
        <x:v>Salaried</x:v>
      </x:c>
      <x:c r="D1119" t="str">
        <x:v>Group B</x:v>
      </x:c>
      <x:c r="E1119" s="26" t="n">
        <x:v>8118.99</x:v>
      </x:c>
      <x:c r="F1119" t="n">
        <x:v>0</x:v>
      </x:c>
      <x:c r="G1119" s="25" t="n">
        <x:v>0.131922</x:v>
      </x:c>
      <x:c r="H1119" t="n">
        <x:f>IF(G1119&lt;$B$6,1,0)</x:f>
        <x:v>1</x:v>
      </x:c>
      <x:c r="I1119" s="26" t="n">
        <x:f>H1119*IF(F1119=0,E1119*$B$7,-E1119*$B$8)</x:f>
        <x:v>974.2787999999999</x:v>
      </x:c>
    </x:row>
    <x:row r="1120">
      <x:c r="A1120" t="n">
        <x:v>7796</x:v>
      </x:c>
      <x:c r="B1120" t="str">
        <x:v>2024-09</x:v>
      </x:c>
      <x:c r="C1120" t="str">
        <x:v>Salaried</x:v>
      </x:c>
      <x:c r="D1120" t="str">
        <x:v>Group A</x:v>
      </x:c>
      <x:c r="E1120" s="26" t="n">
        <x:v>31779.47</x:v>
      </x:c>
      <x:c r="F1120" t="n">
        <x:v>0</x:v>
      </x:c>
      <x:c r="G1120" s="25" t="n">
        <x:v>0.198867</x:v>
      </x:c>
      <x:c r="H1120" t="n">
        <x:f>IF(G1120&lt;$B$6,1,0)</x:f>
        <x:v>0</x:v>
      </x:c>
      <x:c r="I1120" s="26" t="n">
        <x:f>H1120*IF(F1120=0,E1120*$B$7,-E1120*$B$8)</x:f>
        <x:v>0</x:v>
      </x:c>
    </x:row>
    <x:row r="1121">
      <x:c r="A1121" t="n">
        <x:v>7833</x:v>
      </x:c>
      <x:c r="B1121" t="str">
        <x:v>2024-09</x:v>
      </x:c>
      <x:c r="C1121" t="str">
        <x:v>Salaried</x:v>
      </x:c>
      <x:c r="D1121" t="str">
        <x:v>Group A</x:v>
      </x:c>
      <x:c r="E1121" s="26" t="n">
        <x:v>17486.79</x:v>
      </x:c>
      <x:c r="F1121" t="n">
        <x:v>0</x:v>
      </x:c>
      <x:c r="G1121" s="25" t="n">
        <x:v>0.333179</x:v>
      </x:c>
      <x:c r="H1121" t="n">
        <x:f>IF(G1121&lt;$B$6,1,0)</x:f>
        <x:v>0</x:v>
      </x:c>
      <x:c r="I1121" s="26" t="n">
        <x:f>H1121*IF(F1121=0,E1121*$B$7,-E1121*$B$8)</x:f>
        <x:v>0</x:v>
      </x:c>
    </x:row>
    <x:row r="1122">
      <x:c r="A1122" t="n">
        <x:v>7849</x:v>
      </x:c>
      <x:c r="B1122" t="str">
        <x:v>2024-09</x:v>
      </x:c>
      <x:c r="C1122" t="str">
        <x:v>Salaried</x:v>
      </x:c>
      <x:c r="D1122" t="str">
        <x:v>Group A</x:v>
      </x:c>
      <x:c r="E1122" s="26" t="n">
        <x:v>12994.2</x:v>
      </x:c>
      <x:c r="F1122" t="n">
        <x:v>0</x:v>
      </x:c>
      <x:c r="G1122" s="25" t="n">
        <x:v>0.111758</x:v>
      </x:c>
      <x:c r="H1122" t="n">
        <x:f>IF(G1122&lt;$B$6,1,0)</x:f>
        <x:v>1</x:v>
      </x:c>
      <x:c r="I1122" s="26" t="n">
        <x:f>H1122*IF(F1122=0,E1122*$B$7,-E1122*$B$8)</x:f>
        <x:v>1559.304</x:v>
      </x:c>
    </x:row>
    <x:row r="1123">
      <x:c r="A1123" t="n">
        <x:v>7851</x:v>
      </x:c>
      <x:c r="B1123" t="str">
        <x:v>2024-09</x:v>
      </x:c>
      <x:c r="C1123" t="str">
        <x:v>Salaried</x:v>
      </x:c>
      <x:c r="D1123" t="str">
        <x:v>Group A</x:v>
      </x:c>
      <x:c r="E1123" s="26" t="n">
        <x:v>13910.29</x:v>
      </x:c>
      <x:c r="F1123" t="n">
        <x:v>0</x:v>
      </x:c>
      <x:c r="G1123" s="25" t="n">
        <x:v>0.234546</x:v>
      </x:c>
      <x:c r="H1123" t="n">
        <x:f>IF(G1123&lt;$B$6,1,0)</x:f>
        <x:v>0</x:v>
      </x:c>
      <x:c r="I1123" s="26" t="n">
        <x:f>H1123*IF(F1123=0,E1123*$B$7,-E1123*$B$8)</x:f>
        <x:v>0</x:v>
      </x:c>
    </x:row>
    <x:row r="1124">
      <x:c r="A1124" t="n">
        <x:v>7852</x:v>
      </x:c>
      <x:c r="B1124" t="str">
        <x:v>2024-09</x:v>
      </x:c>
      <x:c r="C1124" t="str">
        <x:v>Salaried</x:v>
      </x:c>
      <x:c r="D1124" t="str">
        <x:v>Group B</x:v>
      </x:c>
      <x:c r="E1124" s="26" t="n">
        <x:v>8693.74</x:v>
      </x:c>
      <x:c r="F1124" t="n">
        <x:v>1</x:v>
      </x:c>
      <x:c r="G1124" s="25" t="n">
        <x:v>0.669588</x:v>
      </x:c>
      <x:c r="H1124" t="n">
        <x:f>IF(G1124&lt;$B$6,1,0)</x:f>
        <x:v>0</x:v>
      </x:c>
      <x:c r="I1124" s="26" t="n">
        <x:f>H1124*IF(F1124=0,E1124*$B$7,-E1124*$B$8)</x:f>
        <x:v>0</x:v>
      </x:c>
    </x:row>
    <x:row r="1125">
      <x:c r="A1125" t="n">
        <x:v>7860</x:v>
      </x:c>
      <x:c r="B1125" t="str">
        <x:v>2024-09</x:v>
      </x:c>
      <x:c r="C1125" t="str">
        <x:v>Salaried</x:v>
      </x:c>
      <x:c r="D1125" t="str">
        <x:v>Group B</x:v>
      </x:c>
      <x:c r="E1125" s="26" t="n">
        <x:v>28474.59</x:v>
      </x:c>
      <x:c r="F1125" t="n">
        <x:v>0</x:v>
      </x:c>
      <x:c r="G1125" s="25" t="n">
        <x:v>0.635131</x:v>
      </x:c>
      <x:c r="H1125" t="n">
        <x:f>IF(G1125&lt;$B$6,1,0)</x:f>
        <x:v>0</x:v>
      </x:c>
      <x:c r="I1125" s="26" t="n">
        <x:f>H1125*IF(F1125=0,E1125*$B$7,-E1125*$B$8)</x:f>
        <x:v>0</x:v>
      </x:c>
    </x:row>
    <x:row r="1126">
      <x:c r="A1126" t="n">
        <x:v>7884</x:v>
      </x:c>
      <x:c r="B1126" t="str">
        <x:v>2024-09</x:v>
      </x:c>
      <x:c r="C1126" t="str">
        <x:v>Salaried</x:v>
      </x:c>
      <x:c r="D1126" t="str">
        <x:v>Group B</x:v>
      </x:c>
      <x:c r="E1126" s="26" t="n">
        <x:v>6517.59</x:v>
      </x:c>
      <x:c r="F1126" t="n">
        <x:v>0</x:v>
      </x:c>
      <x:c r="G1126" s="25" t="n">
        <x:v>0.192416</x:v>
      </x:c>
      <x:c r="H1126" t="n">
        <x:f>IF(G1126&lt;$B$6,1,0)</x:f>
        <x:v>0</x:v>
      </x:c>
      <x:c r="I1126" s="26" t="n">
        <x:f>H1126*IF(F1126=0,E1126*$B$7,-E1126*$B$8)</x:f>
        <x:v>0</x:v>
      </x:c>
    </x:row>
    <x:row r="1127">
      <x:c r="A1127" t="n">
        <x:v>7957</x:v>
      </x:c>
      <x:c r="B1127" t="str">
        <x:v>2024-09</x:v>
      </x:c>
      <x:c r="C1127" t="str">
        <x:v>Salaried</x:v>
      </x:c>
      <x:c r="D1127" t="str">
        <x:v>Group A</x:v>
      </x:c>
      <x:c r="E1127" s="26" t="n">
        <x:v>6607.79</x:v>
      </x:c>
      <x:c r="F1127" t="n">
        <x:v>0</x:v>
      </x:c>
      <x:c r="G1127" s="25" t="n">
        <x:v>0.296913</x:v>
      </x:c>
      <x:c r="H1127" t="n">
        <x:f>IF(G1127&lt;$B$6,1,0)</x:f>
        <x:v>0</x:v>
      </x:c>
      <x:c r="I1127" s="26" t="n">
        <x:f>H1127*IF(F1127=0,E1127*$B$7,-E1127*$B$8)</x:f>
        <x:v>0</x:v>
      </x:c>
    </x:row>
    <x:row r="1128">
      <x:c r="A1128" t="n">
        <x:v>7974</x:v>
      </x:c>
      <x:c r="B1128" t="str">
        <x:v>2024-09</x:v>
      </x:c>
      <x:c r="C1128" t="str">
        <x:v>Self employed</x:v>
      </x:c>
      <x:c r="D1128" t="str">
        <x:v>Group B</x:v>
      </x:c>
      <x:c r="E1128" s="26" t="n">
        <x:v>12497.33</x:v>
      </x:c>
      <x:c r="F1128" t="n">
        <x:v>0</x:v>
      </x:c>
      <x:c r="G1128" s="25" t="n">
        <x:v>0.390642</x:v>
      </x:c>
      <x:c r="H1128" t="n">
        <x:f>IF(G1128&lt;$B$6,1,0)</x:f>
        <x:v>0</x:v>
      </x:c>
      <x:c r="I1128" s="26" t="n">
        <x:f>H1128*IF(F1128=0,E1128*$B$7,-E1128*$B$8)</x:f>
        <x:v>0</x:v>
      </x:c>
    </x:row>
    <x:row r="1129">
      <x:c r="A1129" t="n">
        <x:v>8019</x:v>
      </x:c>
      <x:c r="B1129" t="str">
        <x:v>2024-09</x:v>
      </x:c>
      <x:c r="C1129" t="str">
        <x:v>Contract</x:v>
      </x:c>
      <x:c r="D1129" t="str">
        <x:v>Group B</x:v>
      </x:c>
      <x:c r="E1129" s="26" t="n">
        <x:v>9476.87</x:v>
      </x:c>
      <x:c r="F1129" t="n">
        <x:v>0</x:v>
      </x:c>
      <x:c r="G1129" s="25" t="n">
        <x:v>0.023124</x:v>
      </x:c>
      <x:c r="H1129" t="n">
        <x:f>IF(G1129&lt;$B$6,1,0)</x:f>
        <x:v>1</x:v>
      </x:c>
      <x:c r="I1129" s="26" t="n">
        <x:f>H1129*IF(F1129=0,E1129*$B$7,-E1129*$B$8)</x:f>
        <x:v>1137.2244</x:v>
      </x:c>
    </x:row>
    <x:row r="1130">
      <x:c r="A1130" t="n">
        <x:v>8040</x:v>
      </x:c>
      <x:c r="B1130" t="str">
        <x:v>2024-09</x:v>
      </x:c>
      <x:c r="C1130" t="str">
        <x:v>Salaried</x:v>
      </x:c>
      <x:c r="D1130" t="str">
        <x:v>Group A</x:v>
      </x:c>
      <x:c r="E1130" s="26" t="n">
        <x:v>5202.46</x:v>
      </x:c>
      <x:c r="F1130" t="n">
        <x:v>0</x:v>
      </x:c>
      <x:c r="G1130" s="25" t="n">
        <x:v>0.079176</x:v>
      </x:c>
      <x:c r="H1130" t="n">
        <x:f>IF(G1130&lt;$B$6,1,0)</x:f>
        <x:v>1</x:v>
      </x:c>
      <x:c r="I1130" s="26" t="n">
        <x:f>H1130*IF(F1130=0,E1130*$B$7,-E1130*$B$8)</x:f>
        <x:v>624.2952</x:v>
      </x:c>
    </x:row>
    <x:row r="1131">
      <x:c r="A1131" t="n">
        <x:v>8058</x:v>
      </x:c>
      <x:c r="B1131" t="str">
        <x:v>2024-09</x:v>
      </x:c>
      <x:c r="C1131" t="str">
        <x:v>Salaried</x:v>
      </x:c>
      <x:c r="D1131" t="str">
        <x:v>Group A</x:v>
      </x:c>
      <x:c r="E1131" s="26" t="n">
        <x:v>7440.05</x:v>
      </x:c>
      <x:c r="F1131" t="n">
        <x:v>0</x:v>
      </x:c>
      <x:c r="G1131" s="25" t="n">
        <x:v>0.309087</x:v>
      </x:c>
      <x:c r="H1131" t="n">
        <x:f>IF(G1131&lt;$B$6,1,0)</x:f>
        <x:v>0</x:v>
      </x:c>
      <x:c r="I1131" s="26" t="n">
        <x:f>H1131*IF(F1131=0,E1131*$B$7,-E1131*$B$8)</x:f>
        <x:v>0</x:v>
      </x:c>
    </x:row>
    <x:row r="1132">
      <x:c r="A1132" t="n">
        <x:v>8062</x:v>
      </x:c>
      <x:c r="B1132" t="str">
        <x:v>2024-09</x:v>
      </x:c>
      <x:c r="C1132" t="str">
        <x:v>Salaried</x:v>
      </x:c>
      <x:c r="D1132" t="str">
        <x:v>Group A</x:v>
      </x:c>
      <x:c r="E1132" s="26" t="n">
        <x:v>17003.7</x:v>
      </x:c>
      <x:c r="F1132" t="n">
        <x:v>0</x:v>
      </x:c>
      <x:c r="G1132" s="25" t="n">
        <x:v>0.176627</x:v>
      </x:c>
      <x:c r="H1132" t="n">
        <x:f>IF(G1132&lt;$B$6,1,0)</x:f>
        <x:v>0</x:v>
      </x:c>
      <x:c r="I1132" s="26" t="n">
        <x:f>H1132*IF(F1132=0,E1132*$B$7,-E1132*$B$8)</x:f>
        <x:v>0</x:v>
      </x:c>
    </x:row>
    <x:row r="1133">
      <x:c r="A1133" t="n">
        <x:v>8092</x:v>
      </x:c>
      <x:c r="B1133" t="str">
        <x:v>2024-09</x:v>
      </x:c>
      <x:c r="C1133" t="str">
        <x:v>Salaried</x:v>
      </x:c>
      <x:c r="D1133" t="str">
        <x:v>Group A</x:v>
      </x:c>
      <x:c r="E1133" s="26" t="n">
        <x:v>11347.66</x:v>
      </x:c>
      <x:c r="F1133" t="n">
        <x:v>0</x:v>
      </x:c>
      <x:c r="G1133" s="25" t="n">
        <x:v>0.018542</x:v>
      </x:c>
      <x:c r="H1133" t="n">
        <x:f>IF(G1133&lt;$B$6,1,0)</x:f>
        <x:v>1</x:v>
      </x:c>
      <x:c r="I1133" s="26" t="n">
        <x:f>H1133*IF(F1133=0,E1133*$B$7,-E1133*$B$8)</x:f>
        <x:v>1361.7192</x:v>
      </x:c>
    </x:row>
    <x:row r="1134">
      <x:c r="A1134" t="n">
        <x:v>8140</x:v>
      </x:c>
      <x:c r="B1134" t="str">
        <x:v>2024-09</x:v>
      </x:c>
      <x:c r="C1134" t="str">
        <x:v>Salaried</x:v>
      </x:c>
      <x:c r="D1134" t="str">
        <x:v>Group A</x:v>
      </x:c>
      <x:c r="E1134" s="26" t="n">
        <x:v>12051.06</x:v>
      </x:c>
      <x:c r="F1134" t="n">
        <x:v>0</x:v>
      </x:c>
      <x:c r="G1134" s="25" t="n">
        <x:v>0.184029</x:v>
      </x:c>
      <x:c r="H1134" t="n">
        <x:f>IF(G1134&lt;$B$6,1,0)</x:f>
        <x:v>0</x:v>
      </x:c>
      <x:c r="I1134" s="26" t="n">
        <x:f>H1134*IF(F1134=0,E1134*$B$7,-E1134*$B$8)</x:f>
        <x:v>0</x:v>
      </x:c>
    </x:row>
    <x:row r="1135">
      <x:c r="A1135" t="n">
        <x:v>8169</x:v>
      </x:c>
      <x:c r="B1135" t="str">
        <x:v>2024-09</x:v>
      </x:c>
      <x:c r="C1135" t="str">
        <x:v>Salaried</x:v>
      </x:c>
      <x:c r="D1135" t="str">
        <x:v>Group B</x:v>
      </x:c>
      <x:c r="E1135" s="26" t="n">
        <x:v>7749.69</x:v>
      </x:c>
      <x:c r="F1135" t="n">
        <x:v>0</x:v>
      </x:c>
      <x:c r="G1135" s="25" t="n">
        <x:v>0.160736</x:v>
      </x:c>
      <x:c r="H1135" t="n">
        <x:f>IF(G1135&lt;$B$6,1,0)</x:f>
        <x:v>0</x:v>
      </x:c>
      <x:c r="I1135" s="26" t="n">
        <x:f>H1135*IF(F1135=0,E1135*$B$7,-E1135*$B$8)</x:f>
        <x:v>0</x:v>
      </x:c>
    </x:row>
    <x:row r="1136">
      <x:c r="A1136" t="n">
        <x:v>8204</x:v>
      </x:c>
      <x:c r="B1136" t="str">
        <x:v>2024-09</x:v>
      </x:c>
      <x:c r="C1136" t="str">
        <x:v>Self employed</x:v>
      </x:c>
      <x:c r="D1136" t="str">
        <x:v>Group A</x:v>
      </x:c>
      <x:c r="E1136" s="26" t="n">
        <x:v>14332.74</x:v>
      </x:c>
      <x:c r="F1136" t="n">
        <x:v>0</x:v>
      </x:c>
      <x:c r="G1136" s="25" t="n">
        <x:v>0.206567</x:v>
      </x:c>
      <x:c r="H1136" t="n">
        <x:f>IF(G1136&lt;$B$6,1,0)</x:f>
        <x:v>0</x:v>
      </x:c>
      <x:c r="I1136" s="26" t="n">
        <x:f>H1136*IF(F1136=0,E1136*$B$7,-E1136*$B$8)</x:f>
        <x:v>0</x:v>
      </x:c>
    </x:row>
    <x:row r="1137">
      <x:c r="A1137" t="n">
        <x:v>8205</x:v>
      </x:c>
      <x:c r="B1137" t="str">
        <x:v>2024-09</x:v>
      </x:c>
      <x:c r="C1137" t="str">
        <x:v>Salaried</x:v>
      </x:c>
      <x:c r="D1137" t="str">
        <x:v>Group B</x:v>
      </x:c>
      <x:c r="E1137" s="26" t="n">
        <x:v>32123.25</x:v>
      </x:c>
      <x:c r="F1137" t="n">
        <x:v>0</x:v>
      </x:c>
      <x:c r="G1137" s="25" t="n">
        <x:v>0.154162</x:v>
      </x:c>
      <x:c r="H1137" t="n">
        <x:f>IF(G1137&lt;$B$6,1,0)</x:f>
        <x:v>1</x:v>
      </x:c>
      <x:c r="I1137" s="26" t="n">
        <x:f>H1137*IF(F1137=0,E1137*$B$7,-E1137*$B$8)</x:f>
        <x:v>3854.79</x:v>
      </x:c>
    </x:row>
    <x:row r="1138">
      <x:c r="A1138" t="n">
        <x:v>8240</x:v>
      </x:c>
      <x:c r="B1138" t="str">
        <x:v>2024-09</x:v>
      </x:c>
      <x:c r="C1138" t="str">
        <x:v>Salaried</x:v>
      </x:c>
      <x:c r="D1138" t="str">
        <x:v>Group B</x:v>
      </x:c>
      <x:c r="E1138" s="26" t="n">
        <x:v>9192.66</x:v>
      </x:c>
      <x:c r="F1138" t="n">
        <x:v>0</x:v>
      </x:c>
      <x:c r="G1138" s="25" t="n">
        <x:v>0.231658</x:v>
      </x:c>
      <x:c r="H1138" t="n">
        <x:f>IF(G1138&lt;$B$6,1,0)</x:f>
        <x:v>0</x:v>
      </x:c>
      <x:c r="I1138" s="26" t="n">
        <x:f>H1138*IF(F1138=0,E1138*$B$7,-E1138*$B$8)</x:f>
        <x:v>0</x:v>
      </x:c>
    </x:row>
    <x:row r="1139">
      <x:c r="A1139" t="n">
        <x:v>8249</x:v>
      </x:c>
      <x:c r="B1139" t="str">
        <x:v>2024-09</x:v>
      </x:c>
      <x:c r="C1139" t="str">
        <x:v>Salaried</x:v>
      </x:c>
      <x:c r="D1139" t="str">
        <x:v>Group A</x:v>
      </x:c>
      <x:c r="E1139" s="26" t="n">
        <x:v>15138.21</x:v>
      </x:c>
      <x:c r="F1139" t="n">
        <x:v>0</x:v>
      </x:c>
      <x:c r="G1139" s="25" t="n">
        <x:v>0.060081</x:v>
      </x:c>
      <x:c r="H1139" t="n">
        <x:f>IF(G1139&lt;$B$6,1,0)</x:f>
        <x:v>1</x:v>
      </x:c>
      <x:c r="I1139" s="26" t="n">
        <x:f>H1139*IF(F1139=0,E1139*$B$7,-E1139*$B$8)</x:f>
        <x:v>1816.5851999999998</x:v>
      </x:c>
    </x:row>
    <x:row r="1140">
      <x:c r="A1140" t="n">
        <x:v>8278</x:v>
      </x:c>
      <x:c r="B1140" t="str">
        <x:v>2024-09</x:v>
      </x:c>
      <x:c r="C1140" t="str">
        <x:v>Salaried</x:v>
      </x:c>
      <x:c r="D1140" t="str">
        <x:v>Group B</x:v>
      </x:c>
      <x:c r="E1140" s="26" t="n">
        <x:v>9514.17</x:v>
      </x:c>
      <x:c r="F1140" t="n">
        <x:v>0</x:v>
      </x:c>
      <x:c r="G1140" s="25" t="n">
        <x:v>0.563733</x:v>
      </x:c>
      <x:c r="H1140" t="n">
        <x:f>IF(G1140&lt;$B$6,1,0)</x:f>
        <x:v>0</x:v>
      </x:c>
      <x:c r="I1140" s="26" t="n">
        <x:f>H1140*IF(F1140=0,E1140*$B$7,-E1140*$B$8)</x:f>
        <x:v>0</x:v>
      </x:c>
    </x:row>
    <x:row r="1141">
      <x:c r="A1141" t="n">
        <x:v>8296</x:v>
      </x:c>
      <x:c r="B1141" t="str">
        <x:v>2024-09</x:v>
      </x:c>
      <x:c r="C1141" t="str">
        <x:v>Self employed</x:v>
      </x:c>
      <x:c r="D1141" t="str">
        <x:v>Group B</x:v>
      </x:c>
      <x:c r="E1141" s="26" t="n">
        <x:v>16336.98</x:v>
      </x:c>
      <x:c r="F1141" t="n">
        <x:v>0</x:v>
      </x:c>
      <x:c r="G1141" s="25" t="n">
        <x:v>0.042758</x:v>
      </x:c>
      <x:c r="H1141" t="n">
        <x:f>IF(G1141&lt;$B$6,1,0)</x:f>
        <x:v>1</x:v>
      </x:c>
      <x:c r="I1141" s="26" t="n">
        <x:f>H1141*IF(F1141=0,E1141*$B$7,-E1141*$B$8)</x:f>
        <x:v>1960.4376</x:v>
      </x:c>
    </x:row>
    <x:row r="1142">
      <x:c r="A1142" t="n">
        <x:v>8325</x:v>
      </x:c>
      <x:c r="B1142" t="str">
        <x:v>2024-09</x:v>
      </x:c>
      <x:c r="C1142" t="str">
        <x:v>Salaried</x:v>
      </x:c>
      <x:c r="D1142" t="str">
        <x:v>Group A</x:v>
      </x:c>
      <x:c r="E1142" s="26" t="n">
        <x:v>12922.78</x:v>
      </x:c>
      <x:c r="F1142" t="n">
        <x:v>0</x:v>
      </x:c>
      <x:c r="G1142" s="25" t="n">
        <x:v>0.102105</x:v>
      </x:c>
      <x:c r="H1142" t="n">
        <x:f>IF(G1142&lt;$B$6,1,0)</x:f>
        <x:v>1</x:v>
      </x:c>
      <x:c r="I1142" s="26" t="n">
        <x:f>H1142*IF(F1142=0,E1142*$B$7,-E1142*$B$8)</x:f>
        <x:v>1550.7336</x:v>
      </x:c>
    </x:row>
    <x:row r="1143">
      <x:c r="A1143" t="n">
        <x:v>8353</x:v>
      </x:c>
      <x:c r="B1143" t="str">
        <x:v>2024-09</x:v>
      </x:c>
      <x:c r="C1143" t="str">
        <x:v>Self employed</x:v>
      </x:c>
      <x:c r="D1143" t="str">
        <x:v>Group B</x:v>
      </x:c>
      <x:c r="E1143" s="26" t="n">
        <x:v>40632.88</x:v>
      </x:c>
      <x:c r="F1143" t="n">
        <x:v>0</x:v>
      </x:c>
      <x:c r="G1143" s="25" t="n">
        <x:v>0.067328</x:v>
      </x:c>
      <x:c r="H1143" t="n">
        <x:f>IF(G1143&lt;$B$6,1,0)</x:f>
        <x:v>1</x:v>
      </x:c>
      <x:c r="I1143" s="26" t="n">
        <x:f>H1143*IF(F1143=0,E1143*$B$7,-E1143*$B$8)</x:f>
        <x:v>4875.945599999999</x:v>
      </x:c>
    </x:row>
    <x:row r="1144">
      <x:c r="A1144" t="n">
        <x:v>8362</x:v>
      </x:c>
      <x:c r="B1144" t="str">
        <x:v>2024-09</x:v>
      </x:c>
      <x:c r="C1144" t="str">
        <x:v>Salaried</x:v>
      </x:c>
      <x:c r="D1144" t="str">
        <x:v>Group A</x:v>
      </x:c>
      <x:c r="E1144" s="26" t="n">
        <x:v>32263.65</x:v>
      </x:c>
      <x:c r="F1144" t="n">
        <x:v>1</x:v>
      </x:c>
      <x:c r="G1144" s="25" t="n">
        <x:v>0.635919</x:v>
      </x:c>
      <x:c r="H1144" t="n">
        <x:f>IF(G1144&lt;$B$6,1,0)</x:f>
        <x:v>0</x:v>
      </x:c>
      <x:c r="I1144" s="26" t="n">
        <x:f>H1144*IF(F1144=0,E1144*$B$7,-E1144*$B$8)</x:f>
        <x:v>0</x:v>
      </x:c>
    </x:row>
    <x:row r="1145">
      <x:c r="A1145" t="n">
        <x:v>8389</x:v>
      </x:c>
      <x:c r="B1145" t="str">
        <x:v>2024-09</x:v>
      </x:c>
      <x:c r="C1145" t="str">
        <x:v>Contract</x:v>
      </x:c>
      <x:c r="D1145" t="str">
        <x:v>Group A</x:v>
      </x:c>
      <x:c r="E1145" s="26" t="n">
        <x:v>13769.93</x:v>
      </x:c>
      <x:c r="F1145" t="n">
        <x:v>0</x:v>
      </x:c>
      <x:c r="G1145" s="25" t="n">
        <x:v>0.158785</x:v>
      </x:c>
      <x:c r="H1145" t="n">
        <x:f>IF(G1145&lt;$B$6,1,0)</x:f>
        <x:v>1</x:v>
      </x:c>
      <x:c r="I1145" s="26" t="n">
        <x:f>H1145*IF(F1145=0,E1145*$B$7,-E1145*$B$8)</x:f>
        <x:v>1652.3916</x:v>
      </x:c>
    </x:row>
    <x:row r="1146">
      <x:c r="A1146" t="n">
        <x:v>8426</x:v>
      </x:c>
      <x:c r="B1146" t="str">
        <x:v>2024-09</x:v>
      </x:c>
      <x:c r="C1146" t="str">
        <x:v>Salaried</x:v>
      </x:c>
      <x:c r="D1146" t="str">
        <x:v>Group A</x:v>
      </x:c>
      <x:c r="E1146" s="26" t="n">
        <x:v>18864.02</x:v>
      </x:c>
      <x:c r="F1146" t="n">
        <x:v>1</x:v>
      </x:c>
      <x:c r="G1146" s="25" t="n">
        <x:v>0.374144</x:v>
      </x:c>
      <x:c r="H1146" t="n">
        <x:f>IF(G1146&lt;$B$6,1,0)</x:f>
        <x:v>0</x:v>
      </x:c>
      <x:c r="I1146" s="26" t="n">
        <x:f>H1146*IF(F1146=0,E1146*$B$7,-E1146*$B$8)</x:f>
        <x:v>0</x:v>
      </x:c>
    </x:row>
    <x:row r="1147">
      <x:c r="A1147" t="n">
        <x:v>8442</x:v>
      </x:c>
      <x:c r="B1147" t="str">
        <x:v>2024-09</x:v>
      </x:c>
      <x:c r="C1147" t="str">
        <x:v>Salaried</x:v>
      </x:c>
      <x:c r="D1147" t="str">
        <x:v>Group B</x:v>
      </x:c>
      <x:c r="E1147" s="26" t="n">
        <x:v>13925.48</x:v>
      </x:c>
      <x:c r="F1147" t="n">
        <x:v>0</x:v>
      </x:c>
      <x:c r="G1147" s="25" t="n">
        <x:v>0.214763</x:v>
      </x:c>
      <x:c r="H1147" t="n">
        <x:f>IF(G1147&lt;$B$6,1,0)</x:f>
        <x:v>0</x:v>
      </x:c>
      <x:c r="I1147" s="26" t="n">
        <x:f>H1147*IF(F1147=0,E1147*$B$7,-E1147*$B$8)</x:f>
        <x:v>0</x:v>
      </x:c>
    </x:row>
    <x:row r="1148">
      <x:c r="A1148" t="n">
        <x:v>8453</x:v>
      </x:c>
      <x:c r="B1148" t="str">
        <x:v>2024-09</x:v>
      </x:c>
      <x:c r="C1148" t="str">
        <x:v>Salaried</x:v>
      </x:c>
      <x:c r="D1148" t="str">
        <x:v>Group A</x:v>
      </x:c>
      <x:c r="E1148" s="26" t="n">
        <x:v>15951.7</x:v>
      </x:c>
      <x:c r="F1148" t="n">
        <x:v>0</x:v>
      </x:c>
      <x:c r="G1148" s="25" t="n">
        <x:v>0.073491</x:v>
      </x:c>
      <x:c r="H1148" t="n">
        <x:f>IF(G1148&lt;$B$6,1,0)</x:f>
        <x:v>1</x:v>
      </x:c>
      <x:c r="I1148" s="26" t="n">
        <x:f>H1148*IF(F1148=0,E1148*$B$7,-E1148*$B$8)</x:f>
        <x:v>1914.204</x:v>
      </x:c>
    </x:row>
    <x:row r="1149">
      <x:c r="A1149" t="n">
        <x:v>8485</x:v>
      </x:c>
      <x:c r="B1149" t="str">
        <x:v>2024-09</x:v>
      </x:c>
      <x:c r="C1149" t="str">
        <x:v>Salaried</x:v>
      </x:c>
      <x:c r="D1149" t="str">
        <x:v>Group A</x:v>
      </x:c>
      <x:c r="E1149" s="26" t="n">
        <x:v>26139.27</x:v>
      </x:c>
      <x:c r="F1149" t="n">
        <x:v>0</x:v>
      </x:c>
      <x:c r="G1149" s="25" t="n">
        <x:v>0.330346</x:v>
      </x:c>
      <x:c r="H1149" t="n">
        <x:f>IF(G1149&lt;$B$6,1,0)</x:f>
        <x:v>0</x:v>
      </x:c>
      <x:c r="I1149" s="26" t="n">
        <x:f>H1149*IF(F1149=0,E1149*$B$7,-E1149*$B$8)</x:f>
        <x:v>0</x:v>
      </x:c>
    </x:row>
    <x:row r="1150">
      <x:c r="A1150" t="n">
        <x:v>8521</x:v>
      </x:c>
      <x:c r="B1150" t="str">
        <x:v>2024-09</x:v>
      </x:c>
      <x:c r="C1150" t="str">
        <x:v>Salaried</x:v>
      </x:c>
      <x:c r="D1150" t="str">
        <x:v>Group B</x:v>
      </x:c>
      <x:c r="E1150" s="26" t="n">
        <x:v>5383.42</x:v>
      </x:c>
      <x:c r="F1150" t="n">
        <x:v>0</x:v>
      </x:c>
      <x:c r="G1150" s="25" t="n">
        <x:v>0.076924</x:v>
      </x:c>
      <x:c r="H1150" t="n">
        <x:f>IF(G1150&lt;$B$6,1,0)</x:f>
        <x:v>1</x:v>
      </x:c>
      <x:c r="I1150" s="26" t="n">
        <x:f>H1150*IF(F1150=0,E1150*$B$7,-E1150*$B$8)</x:f>
        <x:v>646.0104</x:v>
      </x:c>
    </x:row>
    <x:row r="1151">
      <x:c r="A1151" t="n">
        <x:v>8544</x:v>
      </x:c>
      <x:c r="B1151" t="str">
        <x:v>2024-09</x:v>
      </x:c>
      <x:c r="C1151" t="str">
        <x:v>Self employed</x:v>
      </x:c>
      <x:c r="D1151" t="str">
        <x:v>Group B</x:v>
      </x:c>
      <x:c r="E1151" s="26" t="n">
        <x:v>28071.16</x:v>
      </x:c>
      <x:c r="F1151" t="n">
        <x:v>0</x:v>
      </x:c>
      <x:c r="G1151" s="25" t="n">
        <x:v>0.136754</x:v>
      </x:c>
      <x:c r="H1151" t="n">
        <x:f>IF(G1151&lt;$B$6,1,0)</x:f>
        <x:v>1</x:v>
      </x:c>
      <x:c r="I1151" s="26" t="n">
        <x:f>H1151*IF(F1151=0,E1151*$B$7,-E1151*$B$8)</x:f>
        <x:v>3368.5391999999997</x:v>
      </x:c>
    </x:row>
    <x:row r="1152">
      <x:c r="A1152" t="n">
        <x:v>8567</x:v>
      </x:c>
      <x:c r="B1152" t="str">
        <x:v>2024-09</x:v>
      </x:c>
      <x:c r="C1152" t="str">
        <x:v>Contract</x:v>
      </x:c>
      <x:c r="D1152" t="str">
        <x:v>Group B</x:v>
      </x:c>
      <x:c r="E1152" s="26" t="n">
        <x:v>4852.85</x:v>
      </x:c>
      <x:c r="F1152" t="n">
        <x:v>0</x:v>
      </x:c>
      <x:c r="G1152" s="25" t="n">
        <x:v>0.167574</x:v>
      </x:c>
      <x:c r="H1152" t="n">
        <x:f>IF(G1152&lt;$B$6,1,0)</x:f>
        <x:v>0</x:v>
      </x:c>
      <x:c r="I1152" s="26" t="n">
        <x:f>H1152*IF(F1152=0,E1152*$B$7,-E1152*$B$8)</x:f>
        <x:v>0</x:v>
      </x:c>
    </x:row>
    <x:row r="1153">
      <x:c r="A1153" t="n">
        <x:v>8570</x:v>
      </x:c>
      <x:c r="B1153" t="str">
        <x:v>2024-09</x:v>
      </x:c>
      <x:c r="C1153" t="str">
        <x:v>Salaried</x:v>
      </x:c>
      <x:c r="D1153" t="str">
        <x:v>Group A</x:v>
      </x:c>
      <x:c r="E1153" s="26" t="n">
        <x:v>2412.88</x:v>
      </x:c>
      <x:c r="F1153" t="n">
        <x:v>0</x:v>
      </x:c>
      <x:c r="G1153" s="25" t="n">
        <x:v>0.163838</x:v>
      </x:c>
      <x:c r="H1153" t="n">
        <x:f>IF(G1153&lt;$B$6,1,0)</x:f>
        <x:v>0</x:v>
      </x:c>
      <x:c r="I1153" s="26" t="n">
        <x:f>H1153*IF(F1153=0,E1153*$B$7,-E1153*$B$8)</x:f>
        <x:v>0</x:v>
      </x:c>
    </x:row>
    <x:row r="1154">
      <x:c r="A1154" t="n">
        <x:v>8646</x:v>
      </x:c>
      <x:c r="B1154" t="str">
        <x:v>2024-09</x:v>
      </x:c>
      <x:c r="C1154" t="str">
        <x:v>Salaried</x:v>
      </x:c>
      <x:c r="D1154" t="str">
        <x:v>Group B</x:v>
      </x:c>
      <x:c r="E1154" s="26" t="n">
        <x:v>2523.32</x:v>
      </x:c>
      <x:c r="F1154" t="n">
        <x:v>0</x:v>
      </x:c>
      <x:c r="G1154" s="25" t="n">
        <x:v>0.028373</x:v>
      </x:c>
      <x:c r="H1154" t="n">
        <x:f>IF(G1154&lt;$B$6,1,0)</x:f>
        <x:v>1</x:v>
      </x:c>
      <x:c r="I1154" s="26" t="n">
        <x:f>H1154*IF(F1154=0,E1154*$B$7,-E1154*$B$8)</x:f>
        <x:v>302.7984</x:v>
      </x:c>
    </x:row>
    <x:row r="1155">
      <x:c r="A1155" t="n">
        <x:v>8692</x:v>
      </x:c>
      <x:c r="B1155" t="str">
        <x:v>2024-09</x:v>
      </x:c>
      <x:c r="C1155" t="str">
        <x:v>Self employed</x:v>
      </x:c>
      <x:c r="D1155" t="str">
        <x:v>Group A</x:v>
      </x:c>
      <x:c r="E1155" s="26" t="n">
        <x:v>25826.9</x:v>
      </x:c>
      <x:c r="F1155" t="n">
        <x:v>1</x:v>
      </x:c>
      <x:c r="G1155" s="25" t="n">
        <x:v>0.629193</x:v>
      </x:c>
      <x:c r="H1155" t="n">
        <x:f>IF(G1155&lt;$B$6,1,0)</x:f>
        <x:v>0</x:v>
      </x:c>
      <x:c r="I1155" s="26" t="n">
        <x:f>H1155*IF(F1155=0,E1155*$B$7,-E1155*$B$8)</x:f>
        <x:v>0</x:v>
      </x:c>
    </x:row>
    <x:row r="1156">
      <x:c r="A1156" t="n">
        <x:v>8693</x:v>
      </x:c>
      <x:c r="B1156" t="str">
        <x:v>2024-09</x:v>
      </x:c>
      <x:c r="C1156" t="str">
        <x:v>Salaried</x:v>
      </x:c>
      <x:c r="D1156" t="str">
        <x:v>Group A</x:v>
      </x:c>
      <x:c r="E1156" s="26" t="n">
        <x:v>21639.18</x:v>
      </x:c>
      <x:c r="F1156" t="n">
        <x:v>1</x:v>
      </x:c>
      <x:c r="G1156" s="25" t="n">
        <x:v>0.114943</x:v>
      </x:c>
      <x:c r="H1156" t="n">
        <x:f>IF(G1156&lt;$B$6,1,0)</x:f>
        <x:v>1</x:v>
      </x:c>
      <x:c r="I1156" s="26" t="n">
        <x:f>H1156*IF(F1156=0,E1156*$B$7,-E1156*$B$8)</x:f>
        <x:v>-14065.467</x:v>
      </x:c>
    </x:row>
    <x:row r="1157">
      <x:c r="A1157" t="n">
        <x:v>8694</x:v>
      </x:c>
      <x:c r="B1157" t="str">
        <x:v>2024-09</x:v>
      </x:c>
      <x:c r="C1157" t="str">
        <x:v>Self employed</x:v>
      </x:c>
      <x:c r="D1157" t="str">
        <x:v>Group A</x:v>
      </x:c>
      <x:c r="E1157" s="26" t="n">
        <x:v>5325.07</x:v>
      </x:c>
      <x:c r="F1157" t="n">
        <x:v>0</x:v>
      </x:c>
      <x:c r="G1157" s="25" t="n">
        <x:v>0.045807</x:v>
      </x:c>
      <x:c r="H1157" t="n">
        <x:f>IF(G1157&lt;$B$6,1,0)</x:f>
        <x:v>1</x:v>
      </x:c>
      <x:c r="I1157" s="26" t="n">
        <x:f>H1157*IF(F1157=0,E1157*$B$7,-E1157*$B$8)</x:f>
        <x:v>639.0083999999999</x:v>
      </x:c>
    </x:row>
    <x:row r="1158">
      <x:c r="A1158" t="n">
        <x:v>8700</x:v>
      </x:c>
      <x:c r="B1158" t="str">
        <x:v>2024-09</x:v>
      </x:c>
      <x:c r="C1158" t="str">
        <x:v>Contract</x:v>
      </x:c>
      <x:c r="D1158" t="str">
        <x:v>Group A</x:v>
      </x:c>
      <x:c r="E1158" s="26" t="n">
        <x:v>13108.8</x:v>
      </x:c>
      <x:c r="F1158" t="n">
        <x:v>1</x:v>
      </x:c>
      <x:c r="G1158" s="25" t="n">
        <x:v>0.155165</x:v>
      </x:c>
      <x:c r="H1158" t="n">
        <x:f>IF(G1158&lt;$B$6,1,0)</x:f>
        <x:v>1</x:v>
      </x:c>
      <x:c r="I1158" s="26" t="n">
        <x:f>H1158*IF(F1158=0,E1158*$B$7,-E1158*$B$8)</x:f>
        <x:v>-8520.72</x:v>
      </x:c>
    </x:row>
    <x:row r="1159">
      <x:c r="A1159" t="n">
        <x:v>8738</x:v>
      </x:c>
      <x:c r="B1159" t="str">
        <x:v>2024-09</x:v>
      </x:c>
      <x:c r="C1159" t="str">
        <x:v>Self employed</x:v>
      </x:c>
      <x:c r="D1159" t="str">
        <x:v>Group A</x:v>
      </x:c>
      <x:c r="E1159" s="26" t="n">
        <x:v>12355.46</x:v>
      </x:c>
      <x:c r="F1159" t="n">
        <x:v>0</x:v>
      </x:c>
      <x:c r="G1159" s="25" t="n">
        <x:v>0.251322</x:v>
      </x:c>
      <x:c r="H1159" t="n">
        <x:f>IF(G1159&lt;$B$6,1,0)</x:f>
        <x:v>0</x:v>
      </x:c>
      <x:c r="I1159" s="26" t="n">
        <x:f>H1159*IF(F1159=0,E1159*$B$7,-E1159*$B$8)</x:f>
        <x:v>0</x:v>
      </x:c>
    </x:row>
    <x:row r="1160">
      <x:c r="A1160" t="n">
        <x:v>8745</x:v>
      </x:c>
      <x:c r="B1160" t="str">
        <x:v>2024-09</x:v>
      </x:c>
      <x:c r="C1160" t="str">
        <x:v>Salaried</x:v>
      </x:c>
      <x:c r="D1160" t="str">
        <x:v>Group A</x:v>
      </x:c>
      <x:c r="E1160" s="26" t="n">
        <x:v>8018.07</x:v>
      </x:c>
      <x:c r="F1160" t="n">
        <x:v>1</x:v>
      </x:c>
      <x:c r="G1160" s="25" t="n">
        <x:v>0.24343</x:v>
      </x:c>
      <x:c r="H1160" t="n">
        <x:f>IF(G1160&lt;$B$6,1,0)</x:f>
        <x:v>0</x:v>
      </x:c>
      <x:c r="I1160" s="26" t="n">
        <x:f>H1160*IF(F1160=0,E1160*$B$7,-E1160*$B$8)</x:f>
        <x:v>0</x:v>
      </x:c>
    </x:row>
    <x:row r="1161">
      <x:c r="A1161" t="n">
        <x:v>8753</x:v>
      </x:c>
      <x:c r="B1161" t="str">
        <x:v>2024-09</x:v>
      </x:c>
      <x:c r="C1161" t="str">
        <x:v>Self employed</x:v>
      </x:c>
      <x:c r="D1161" t="str">
        <x:v>Group A</x:v>
      </x:c>
      <x:c r="E1161" s="26" t="n">
        <x:v>15813.33</x:v>
      </x:c>
      <x:c r="F1161" t="n">
        <x:v>0</x:v>
      </x:c>
      <x:c r="G1161" s="25" t="n">
        <x:v>0.173469</x:v>
      </x:c>
      <x:c r="H1161" t="n">
        <x:f>IF(G1161&lt;$B$6,1,0)</x:f>
        <x:v>0</x:v>
      </x:c>
      <x:c r="I1161" s="26" t="n">
        <x:f>H1161*IF(F1161=0,E1161*$B$7,-E1161*$B$8)</x:f>
        <x:v>0</x:v>
      </x:c>
    </x:row>
    <x:row r="1162">
      <x:c r="A1162" t="n">
        <x:v>8765</x:v>
      </x:c>
      <x:c r="B1162" t="str">
        <x:v>2024-09</x:v>
      </x:c>
      <x:c r="C1162" t="str">
        <x:v>Salaried</x:v>
      </x:c>
      <x:c r="D1162" t="str">
        <x:v>Group B</x:v>
      </x:c>
      <x:c r="E1162" s="26" t="n">
        <x:v>27511.27</x:v>
      </x:c>
      <x:c r="F1162" t="n">
        <x:v>0</x:v>
      </x:c>
      <x:c r="G1162" s="25" t="n">
        <x:v>0.316993</x:v>
      </x:c>
      <x:c r="H1162" t="n">
        <x:f>IF(G1162&lt;$B$6,1,0)</x:f>
        <x:v>0</x:v>
      </x:c>
      <x:c r="I1162" s="26" t="n">
        <x:f>H1162*IF(F1162=0,E1162*$B$7,-E1162*$B$8)</x:f>
        <x:v>0</x:v>
      </x:c>
    </x:row>
    <x:row r="1163">
      <x:c r="A1163" t="n">
        <x:v>8783</x:v>
      </x:c>
      <x:c r="B1163" t="str">
        <x:v>2024-09</x:v>
      </x:c>
      <x:c r="C1163" t="str">
        <x:v>Self employed</x:v>
      </x:c>
      <x:c r="D1163" t="str">
        <x:v>Group B</x:v>
      </x:c>
      <x:c r="E1163" s="26" t="n">
        <x:v>21004.96</x:v>
      </x:c>
      <x:c r="F1163" t="n">
        <x:v>0</x:v>
      </x:c>
      <x:c r="G1163" s="25" t="n">
        <x:v>0.070791</x:v>
      </x:c>
      <x:c r="H1163" t="n">
        <x:f>IF(G1163&lt;$B$6,1,0)</x:f>
        <x:v>1</x:v>
      </x:c>
      <x:c r="I1163" s="26" t="n">
        <x:f>H1163*IF(F1163=0,E1163*$B$7,-E1163*$B$8)</x:f>
        <x:v>2520.5951999999997</x:v>
      </x:c>
    </x:row>
    <x:row r="1164">
      <x:c r="A1164" t="n">
        <x:v>8894</x:v>
      </x:c>
      <x:c r="B1164" t="str">
        <x:v>2024-09</x:v>
      </x:c>
      <x:c r="C1164" t="str">
        <x:v>Salaried</x:v>
      </x:c>
      <x:c r="D1164" t="str">
        <x:v>Group A</x:v>
      </x:c>
      <x:c r="E1164" s="26" t="n">
        <x:v>15326.85</x:v>
      </x:c>
      <x:c r="F1164" t="n">
        <x:v>0</x:v>
      </x:c>
      <x:c r="G1164" s="25" t="n">
        <x:v>0.114068</x:v>
      </x:c>
      <x:c r="H1164" t="n">
        <x:f>IF(G1164&lt;$B$6,1,0)</x:f>
        <x:v>1</x:v>
      </x:c>
      <x:c r="I1164" s="26" t="n">
        <x:f>H1164*IF(F1164=0,E1164*$B$7,-E1164*$B$8)</x:f>
        <x:v>1839.222</x:v>
      </x:c>
    </x:row>
    <x:row r="1165">
      <x:c r="A1165" t="n">
        <x:v>8902</x:v>
      </x:c>
      <x:c r="B1165" t="str">
        <x:v>2024-09</x:v>
      </x:c>
      <x:c r="C1165" t="str">
        <x:v>Salaried</x:v>
      </x:c>
      <x:c r="D1165" t="str">
        <x:v>Group A</x:v>
      </x:c>
      <x:c r="E1165" s="26" t="n">
        <x:v>18045.95</x:v>
      </x:c>
      <x:c r="F1165" t="n">
        <x:v>0</x:v>
      </x:c>
      <x:c r="G1165" s="25" t="n">
        <x:v>0.315623</x:v>
      </x:c>
      <x:c r="H1165" t="n">
        <x:f>IF(G1165&lt;$B$6,1,0)</x:f>
        <x:v>0</x:v>
      </x:c>
      <x:c r="I1165" s="26" t="n">
        <x:f>H1165*IF(F1165=0,E1165*$B$7,-E1165*$B$8)</x:f>
        <x:v>0</x:v>
      </x:c>
    </x:row>
    <x:row r="1166">
      <x:c r="A1166" t="n">
        <x:v>8979</x:v>
      </x:c>
      <x:c r="B1166" t="str">
        <x:v>2024-09</x:v>
      </x:c>
      <x:c r="C1166" t="str">
        <x:v>Self employed</x:v>
      </x:c>
      <x:c r="D1166" t="str">
        <x:v>Group A</x:v>
      </x:c>
      <x:c r="E1166" s="26" t="n">
        <x:v>13460.57</x:v>
      </x:c>
      <x:c r="F1166" t="n">
        <x:v>0</x:v>
      </x:c>
      <x:c r="G1166" s="25" t="n">
        <x:v>0.100843</x:v>
      </x:c>
      <x:c r="H1166" t="n">
        <x:f>IF(G1166&lt;$B$6,1,0)</x:f>
        <x:v>1</x:v>
      </x:c>
      <x:c r="I1166" s="26" t="n">
        <x:f>H1166*IF(F1166=0,E1166*$B$7,-E1166*$B$8)</x:f>
        <x:v>1615.2684</x:v>
      </x:c>
    </x:row>
    <x:row r="1167">
      <x:c r="A1167" t="n">
        <x:v>9032</x:v>
      </x:c>
      <x:c r="B1167" t="str">
        <x:v>2024-09</x:v>
      </x:c>
      <x:c r="C1167" t="str">
        <x:v>Contract</x:v>
      </x:c>
      <x:c r="D1167" t="str">
        <x:v>Group B</x:v>
      </x:c>
      <x:c r="E1167" s="26" t="n">
        <x:v>7338.84</x:v>
      </x:c>
      <x:c r="F1167" t="n">
        <x:v>0</x:v>
      </x:c>
      <x:c r="G1167" s="25" t="n">
        <x:v>0.644799</x:v>
      </x:c>
      <x:c r="H1167" t="n">
        <x:f>IF(G1167&lt;$B$6,1,0)</x:f>
        <x:v>0</x:v>
      </x:c>
      <x:c r="I1167" s="26" t="n">
        <x:f>H1167*IF(F1167=0,E1167*$B$7,-E1167*$B$8)</x:f>
        <x:v>0</x:v>
      </x:c>
    </x:row>
    <x:row r="1168">
      <x:c r="A1168" t="n">
        <x:v>9036</x:v>
      </x:c>
      <x:c r="B1168" t="str">
        <x:v>2024-09</x:v>
      </x:c>
      <x:c r="C1168" t="str">
        <x:v>Self employed</x:v>
      </x:c>
      <x:c r="D1168" t="str">
        <x:v>Group B</x:v>
      </x:c>
      <x:c r="E1168" s="26" t="n">
        <x:v>19286.92</x:v>
      </x:c>
      <x:c r="F1168" t="n">
        <x:v>0</x:v>
      </x:c>
      <x:c r="G1168" s="25" t="n">
        <x:v>0.095703</x:v>
      </x:c>
      <x:c r="H1168" t="n">
        <x:f>IF(G1168&lt;$B$6,1,0)</x:f>
        <x:v>1</x:v>
      </x:c>
      <x:c r="I1168" s="26" t="n">
        <x:f>H1168*IF(F1168=0,E1168*$B$7,-E1168*$B$8)</x:f>
        <x:v>2314.4303999999997</x:v>
      </x:c>
    </x:row>
    <x:row r="1169">
      <x:c r="A1169" t="n">
        <x:v>9060</x:v>
      </x:c>
      <x:c r="B1169" t="str">
        <x:v>2024-09</x:v>
      </x:c>
      <x:c r="C1169" t="str">
        <x:v>Salaried</x:v>
      </x:c>
      <x:c r="D1169" t="str">
        <x:v>Group A</x:v>
      </x:c>
      <x:c r="E1169" s="26" t="n">
        <x:v>19508.96</x:v>
      </x:c>
      <x:c r="F1169" t="n">
        <x:v>0</x:v>
      </x:c>
      <x:c r="G1169" s="25" t="n">
        <x:v>0.116756</x:v>
      </x:c>
      <x:c r="H1169" t="n">
        <x:f>IF(G1169&lt;$B$6,1,0)</x:f>
        <x:v>1</x:v>
      </x:c>
      <x:c r="I1169" s="26" t="n">
        <x:f>H1169*IF(F1169=0,E1169*$B$7,-E1169*$B$8)</x:f>
        <x:v>2341.0751999999998</x:v>
      </x:c>
    </x:row>
    <x:row r="1170">
      <x:c r="A1170" t="n">
        <x:v>9095</x:v>
      </x:c>
      <x:c r="B1170" t="str">
        <x:v>2024-09</x:v>
      </x:c>
      <x:c r="C1170" t="str">
        <x:v>Salaried</x:v>
      </x:c>
      <x:c r="D1170" t="str">
        <x:v>Group B</x:v>
      </x:c>
      <x:c r="E1170" s="26" t="n">
        <x:v>9691.22</x:v>
      </x:c>
      <x:c r="F1170" t="n">
        <x:v>0</x:v>
      </x:c>
      <x:c r="G1170" s="25" t="n">
        <x:v>0.030962</x:v>
      </x:c>
      <x:c r="H1170" t="n">
        <x:f>IF(G1170&lt;$B$6,1,0)</x:f>
        <x:v>1</x:v>
      </x:c>
      <x:c r="I1170" s="26" t="n">
        <x:f>H1170*IF(F1170=0,E1170*$B$7,-E1170*$B$8)</x:f>
        <x:v>1162.9463999999998</x:v>
      </x:c>
    </x:row>
    <x:row r="1171">
      <x:c r="A1171" t="n">
        <x:v>9102</x:v>
      </x:c>
      <x:c r="B1171" t="str">
        <x:v>2024-09</x:v>
      </x:c>
      <x:c r="C1171" t="str">
        <x:v>Salaried</x:v>
      </x:c>
      <x:c r="D1171" t="str">
        <x:v>Group B</x:v>
      </x:c>
      <x:c r="E1171" s="26" t="n">
        <x:v>2654.83</x:v>
      </x:c>
      <x:c r="F1171" t="n">
        <x:v>0</x:v>
      </x:c>
      <x:c r="G1171" s="25" t="n">
        <x:v>0.193524</x:v>
      </x:c>
      <x:c r="H1171" t="n">
        <x:f>IF(G1171&lt;$B$6,1,0)</x:f>
        <x:v>0</x:v>
      </x:c>
      <x:c r="I1171" s="26" t="n">
        <x:f>H1171*IF(F1171=0,E1171*$B$7,-E1171*$B$8)</x:f>
        <x:v>0</x:v>
      </x:c>
    </x:row>
    <x:row r="1172">
      <x:c r="A1172" t="n">
        <x:v>9134</x:v>
      </x:c>
      <x:c r="B1172" t="str">
        <x:v>2024-09</x:v>
      </x:c>
      <x:c r="C1172" t="str">
        <x:v>Contract</x:v>
      </x:c>
      <x:c r="D1172" t="str">
        <x:v>Group A</x:v>
      </x:c>
      <x:c r="E1172" s="26" t="n">
        <x:v>16001.14</x:v>
      </x:c>
      <x:c r="F1172" t="n">
        <x:v>0</x:v>
      </x:c>
      <x:c r="G1172" s="25" t="n">
        <x:v>0.20426</x:v>
      </x:c>
      <x:c r="H1172" t="n">
        <x:f>IF(G1172&lt;$B$6,1,0)</x:f>
        <x:v>0</x:v>
      </x:c>
      <x:c r="I1172" s="26" t="n">
        <x:f>H1172*IF(F1172=0,E1172*$B$7,-E1172*$B$8)</x:f>
        <x:v>0</x:v>
      </x:c>
    </x:row>
    <x:row r="1173">
      <x:c r="A1173" t="n">
        <x:v>9153</x:v>
      </x:c>
      <x:c r="B1173" t="str">
        <x:v>2024-09</x:v>
      </x:c>
      <x:c r="C1173" t="str">
        <x:v>Salaried</x:v>
      </x:c>
      <x:c r="D1173" t="str">
        <x:v>Group A</x:v>
      </x:c>
      <x:c r="E1173" s="26" t="n">
        <x:v>28892.01</x:v>
      </x:c>
      <x:c r="F1173" t="n">
        <x:v>0</x:v>
      </x:c>
      <x:c r="G1173" s="25" t="n">
        <x:v>0.188786</x:v>
      </x:c>
      <x:c r="H1173" t="n">
        <x:f>IF(G1173&lt;$B$6,1,0)</x:f>
        <x:v>0</x:v>
      </x:c>
      <x:c r="I1173" s="26" t="n">
        <x:f>H1173*IF(F1173=0,E1173*$B$7,-E1173*$B$8)</x:f>
        <x:v>0</x:v>
      </x:c>
    </x:row>
    <x:row r="1174">
      <x:c r="A1174" t="n">
        <x:v>9195</x:v>
      </x:c>
      <x:c r="B1174" t="str">
        <x:v>2024-09</x:v>
      </x:c>
      <x:c r="C1174" t="str">
        <x:v>Self employed</x:v>
      </x:c>
      <x:c r="D1174" t="str">
        <x:v>Group B</x:v>
      </x:c>
      <x:c r="E1174" s="26" t="n">
        <x:v>19021.47</x:v>
      </x:c>
      <x:c r="F1174" t="n">
        <x:v>0</x:v>
      </x:c>
      <x:c r="G1174" s="25" t="n">
        <x:v>0.191358</x:v>
      </x:c>
      <x:c r="H1174" t="n">
        <x:f>IF(G1174&lt;$B$6,1,0)</x:f>
        <x:v>0</x:v>
      </x:c>
      <x:c r="I1174" s="26" t="n">
        <x:f>H1174*IF(F1174=0,E1174*$B$7,-E1174*$B$8)</x:f>
        <x:v>0</x:v>
      </x:c>
    </x:row>
    <x:row r="1175">
      <x:c r="A1175" t="n">
        <x:v>9208</x:v>
      </x:c>
      <x:c r="B1175" t="str">
        <x:v>2024-09</x:v>
      </x:c>
      <x:c r="C1175" t="str">
        <x:v>Self employed</x:v>
      </x:c>
      <x:c r="D1175" t="str">
        <x:v>Group B</x:v>
      </x:c>
      <x:c r="E1175" s="26" t="n">
        <x:v>5133.01</x:v>
      </x:c>
      <x:c r="F1175" t="n">
        <x:v>1</x:v>
      </x:c>
      <x:c r="G1175" s="25" t="n">
        <x:v>0.073406</x:v>
      </x:c>
      <x:c r="H1175" t="n">
        <x:f>IF(G1175&lt;$B$6,1,0)</x:f>
        <x:v>1</x:v>
      </x:c>
      <x:c r="I1175" s="26" t="n">
        <x:f>H1175*IF(F1175=0,E1175*$B$7,-E1175*$B$8)</x:f>
        <x:v>-3336.4565000000002</x:v>
      </x:c>
    </x:row>
    <x:row r="1176">
      <x:c r="A1176" t="n">
        <x:v>9235</x:v>
      </x:c>
      <x:c r="B1176" t="str">
        <x:v>2024-09</x:v>
      </x:c>
      <x:c r="C1176" t="str">
        <x:v>Salaried</x:v>
      </x:c>
      <x:c r="D1176" t="str">
        <x:v>Group A</x:v>
      </x:c>
      <x:c r="E1176" s="26" t="n">
        <x:v>10672.56</x:v>
      </x:c>
      <x:c r="F1176" t="n">
        <x:v>0</x:v>
      </x:c>
      <x:c r="G1176" s="25" t="n">
        <x:v>0.175424</x:v>
      </x:c>
      <x:c r="H1176" t="n">
        <x:f>IF(G1176&lt;$B$6,1,0)</x:f>
        <x:v>0</x:v>
      </x:c>
      <x:c r="I1176" s="26" t="n">
        <x:f>H1176*IF(F1176=0,E1176*$B$7,-E1176*$B$8)</x:f>
        <x:v>0</x:v>
      </x:c>
    </x:row>
    <x:row r="1177">
      <x:c r="A1177" t="n">
        <x:v>9252</x:v>
      </x:c>
      <x:c r="B1177" t="str">
        <x:v>2024-09</x:v>
      </x:c>
      <x:c r="C1177" t="str">
        <x:v>Salaried</x:v>
      </x:c>
      <x:c r="D1177" t="str">
        <x:v>Group A</x:v>
      </x:c>
      <x:c r="E1177" s="26" t="n">
        <x:v>19116.93</x:v>
      </x:c>
      <x:c r="F1177" t="n">
        <x:v>0</x:v>
      </x:c>
      <x:c r="G1177" s="25" t="n">
        <x:v>0.22127</x:v>
      </x:c>
      <x:c r="H1177" t="n">
        <x:f>IF(G1177&lt;$B$6,1,0)</x:f>
        <x:v>0</x:v>
      </x:c>
      <x:c r="I1177" s="26" t="n">
        <x:f>H1177*IF(F1177=0,E1177*$B$7,-E1177*$B$8)</x:f>
        <x:v>0</x:v>
      </x:c>
    </x:row>
    <x:row r="1178">
      <x:c r="A1178" t="n">
        <x:v>9274</x:v>
      </x:c>
      <x:c r="B1178" t="str">
        <x:v>2024-09</x:v>
      </x:c>
      <x:c r="C1178" t="str">
        <x:v>Contract</x:v>
      </x:c>
      <x:c r="D1178" t="str">
        <x:v>Group B</x:v>
      </x:c>
      <x:c r="E1178" s="26" t="n">
        <x:v>17464.12</x:v>
      </x:c>
      <x:c r="F1178" t="n">
        <x:v>1</x:v>
      </x:c>
      <x:c r="G1178" s="25" t="n">
        <x:v>0.475784</x:v>
      </x:c>
      <x:c r="H1178" t="n">
        <x:f>IF(G1178&lt;$B$6,1,0)</x:f>
        <x:v>0</x:v>
      </x:c>
      <x:c r="I1178" s="26" t="n">
        <x:f>H1178*IF(F1178=0,E1178*$B$7,-E1178*$B$8)</x:f>
        <x:v>0</x:v>
      </x:c>
    </x:row>
    <x:row r="1179">
      <x:c r="A1179" t="n">
        <x:v>9279</x:v>
      </x:c>
      <x:c r="B1179" t="str">
        <x:v>2024-09</x:v>
      </x:c>
      <x:c r="C1179" t="str">
        <x:v>Salaried</x:v>
      </x:c>
      <x:c r="D1179" t="str">
        <x:v>Group A</x:v>
      </x:c>
      <x:c r="E1179" s="26" t="n">
        <x:v>30922.47</x:v>
      </x:c>
      <x:c r="F1179" t="n">
        <x:v>0</x:v>
      </x:c>
      <x:c r="G1179" s="25" t="n">
        <x:v>0.303566</x:v>
      </x:c>
      <x:c r="H1179" t="n">
        <x:f>IF(G1179&lt;$B$6,1,0)</x:f>
        <x:v>0</x:v>
      </x:c>
      <x:c r="I1179" s="26" t="n">
        <x:f>H1179*IF(F1179=0,E1179*$B$7,-E1179*$B$8)</x:f>
        <x:v>0</x:v>
      </x:c>
    </x:row>
    <x:row r="1180">
      <x:c r="A1180" t="n">
        <x:v>9284</x:v>
      </x:c>
      <x:c r="B1180" t="str">
        <x:v>2024-09</x:v>
      </x:c>
      <x:c r="C1180" t="str">
        <x:v>Self employed</x:v>
      </x:c>
      <x:c r="D1180" t="str">
        <x:v>Group B</x:v>
      </x:c>
      <x:c r="E1180" s="26" t="n">
        <x:v>33405.48</x:v>
      </x:c>
      <x:c r="F1180" t="n">
        <x:v>0</x:v>
      </x:c>
      <x:c r="G1180" s="25" t="n">
        <x:v>0.02664</x:v>
      </x:c>
      <x:c r="H1180" t="n">
        <x:f>IF(G1180&lt;$B$6,1,0)</x:f>
        <x:v>1</x:v>
      </x:c>
      <x:c r="I1180" s="26" t="n">
        <x:f>H1180*IF(F1180=0,E1180*$B$7,-E1180*$B$8)</x:f>
        <x:v>4008.6576000000005</x:v>
      </x:c>
    </x:row>
    <x:row r="1181">
      <x:c r="A1181" t="n">
        <x:v>9286</x:v>
      </x:c>
      <x:c r="B1181" t="str">
        <x:v>2024-09</x:v>
      </x:c>
      <x:c r="C1181" t="str">
        <x:v>Salaried</x:v>
      </x:c>
      <x:c r="D1181" t="str">
        <x:v>Group B</x:v>
      </x:c>
      <x:c r="E1181" s="26" t="n">
        <x:v>6775.8</x:v>
      </x:c>
      <x:c r="F1181" t="n">
        <x:v>1</x:v>
      </x:c>
      <x:c r="G1181" s="25" t="n">
        <x:v>0.25067</x:v>
      </x:c>
      <x:c r="H1181" t="n">
        <x:f>IF(G1181&lt;$B$6,1,0)</x:f>
        <x:v>0</x:v>
      </x:c>
      <x:c r="I1181" s="26" t="n">
        <x:f>H1181*IF(F1181=0,E1181*$B$7,-E1181*$B$8)</x:f>
        <x:v>0</x:v>
      </x:c>
    </x:row>
    <x:row r="1182">
      <x:c r="A1182" t="n">
        <x:v>9297</x:v>
      </x:c>
      <x:c r="B1182" t="str">
        <x:v>2024-09</x:v>
      </x:c>
      <x:c r="C1182" t="str">
        <x:v>Salaried</x:v>
      </x:c>
      <x:c r="D1182" t="str">
        <x:v>Group A</x:v>
      </x:c>
      <x:c r="E1182" s="26" t="n">
        <x:v>8565.01</x:v>
      </x:c>
      <x:c r="F1182" t="n">
        <x:v>1</x:v>
      </x:c>
      <x:c r="G1182" s="25" t="n">
        <x:v>0.375746</x:v>
      </x:c>
      <x:c r="H1182" t="n">
        <x:f>IF(G1182&lt;$B$6,1,0)</x:f>
        <x:v>0</x:v>
      </x:c>
      <x:c r="I1182" s="26" t="n">
        <x:f>H1182*IF(F1182=0,E1182*$B$7,-E1182*$B$8)</x:f>
        <x:v>0</x:v>
      </x:c>
    </x:row>
    <x:row r="1183">
      <x:c r="A1183" t="n">
        <x:v>9309</x:v>
      </x:c>
      <x:c r="B1183" t="str">
        <x:v>2024-09</x:v>
      </x:c>
      <x:c r="C1183" t="str">
        <x:v>Salaried</x:v>
      </x:c>
      <x:c r="D1183" t="str">
        <x:v>Group A</x:v>
      </x:c>
      <x:c r="E1183" s="26" t="n">
        <x:v>43686.85</x:v>
      </x:c>
      <x:c r="F1183" t="n">
        <x:v>1</x:v>
      </x:c>
      <x:c r="G1183" s="25" t="n">
        <x:v>0.57526</x:v>
      </x:c>
      <x:c r="H1183" t="n">
        <x:f>IF(G1183&lt;$B$6,1,0)</x:f>
        <x:v>0</x:v>
      </x:c>
      <x:c r="I1183" s="26" t="n">
        <x:f>H1183*IF(F1183=0,E1183*$B$7,-E1183*$B$8)</x:f>
        <x:v>0</x:v>
      </x:c>
    </x:row>
    <x:row r="1184">
      <x:c r="A1184" t="n">
        <x:v>9311</x:v>
      </x:c>
      <x:c r="B1184" t="str">
        <x:v>2024-09</x:v>
      </x:c>
      <x:c r="C1184" t="str">
        <x:v>Self employed</x:v>
      </x:c>
      <x:c r="D1184" t="str">
        <x:v>Group B</x:v>
      </x:c>
      <x:c r="E1184" s="26" t="n">
        <x:v>17646.9</x:v>
      </x:c>
      <x:c r="F1184" t="n">
        <x:v>0</x:v>
      </x:c>
      <x:c r="G1184" s="25" t="n">
        <x:v>0.106208</x:v>
      </x:c>
      <x:c r="H1184" t="n">
        <x:f>IF(G1184&lt;$B$6,1,0)</x:f>
        <x:v>1</x:v>
      </x:c>
      <x:c r="I1184" s="26" t="n">
        <x:f>H1184*IF(F1184=0,E1184*$B$7,-E1184*$B$8)</x:f>
        <x:v>2117.628</x:v>
      </x:c>
    </x:row>
    <x:row r="1185">
      <x:c r="A1185" t="n">
        <x:v>9316</x:v>
      </x:c>
      <x:c r="B1185" t="str">
        <x:v>2024-09</x:v>
      </x:c>
      <x:c r="C1185" t="str">
        <x:v>Salaried</x:v>
      </x:c>
      <x:c r="D1185" t="str">
        <x:v>Group A</x:v>
      </x:c>
      <x:c r="E1185" s="26" t="n">
        <x:v>25766.57</x:v>
      </x:c>
      <x:c r="F1185" t="n">
        <x:v>0</x:v>
      </x:c>
      <x:c r="G1185" s="25" t="n">
        <x:v>0.065197</x:v>
      </x:c>
      <x:c r="H1185" t="n">
        <x:f>IF(G1185&lt;$B$6,1,0)</x:f>
        <x:v>1</x:v>
      </x:c>
      <x:c r="I1185" s="26" t="n">
        <x:f>H1185*IF(F1185=0,E1185*$B$7,-E1185*$B$8)</x:f>
        <x:v>3091.9883999999997</x:v>
      </x:c>
    </x:row>
    <x:row r="1186">
      <x:c r="A1186" t="n">
        <x:v>9318</x:v>
      </x:c>
      <x:c r="B1186" t="str">
        <x:v>2024-09</x:v>
      </x:c>
      <x:c r="C1186" t="str">
        <x:v>Salaried</x:v>
      </x:c>
      <x:c r="D1186" t="str">
        <x:v>Group A</x:v>
      </x:c>
      <x:c r="E1186" s="26" t="n">
        <x:v>32709.57</x:v>
      </x:c>
      <x:c r="F1186" t="n">
        <x:v>1</x:v>
      </x:c>
      <x:c r="G1186" s="25" t="n">
        <x:v>0.220274</x:v>
      </x:c>
      <x:c r="H1186" t="n">
        <x:f>IF(G1186&lt;$B$6,1,0)</x:f>
        <x:v>0</x:v>
      </x:c>
      <x:c r="I1186" s="26" t="n">
        <x:f>H1186*IF(F1186=0,E1186*$B$7,-E1186*$B$8)</x:f>
        <x:v>0</x:v>
      </x:c>
    </x:row>
    <x:row r="1187">
      <x:c r="A1187" t="n">
        <x:v>9321</x:v>
      </x:c>
      <x:c r="B1187" t="str">
        <x:v>2024-09</x:v>
      </x:c>
      <x:c r="C1187" t="str">
        <x:v>Salaried</x:v>
      </x:c>
      <x:c r="D1187" t="str">
        <x:v>Group B</x:v>
      </x:c>
      <x:c r="E1187" s="26" t="n">
        <x:v>15961.33</x:v>
      </x:c>
      <x:c r="F1187" t="n">
        <x:v>0</x:v>
      </x:c>
      <x:c r="G1187" s="25" t="n">
        <x:v>0.18516</x:v>
      </x:c>
      <x:c r="H1187" t="n">
        <x:f>IF(G1187&lt;$B$6,1,0)</x:f>
        <x:v>0</x:v>
      </x:c>
      <x:c r="I1187" s="26" t="n">
        <x:f>H1187*IF(F1187=0,E1187*$B$7,-E1187*$B$8)</x:f>
        <x:v>0</x:v>
      </x:c>
    </x:row>
    <x:row r="1188">
      <x:c r="A1188" t="n">
        <x:v>9372</x:v>
      </x:c>
      <x:c r="B1188" t="str">
        <x:v>2024-09</x:v>
      </x:c>
      <x:c r="C1188" t="str">
        <x:v>Self employed</x:v>
      </x:c>
      <x:c r="D1188" t="str">
        <x:v>Group A</x:v>
      </x:c>
      <x:c r="E1188" s="26" t="n">
        <x:v>17197.37</x:v>
      </x:c>
      <x:c r="F1188" t="n">
        <x:v>0</x:v>
      </x:c>
      <x:c r="G1188" s="25" t="n">
        <x:v>0.184395</x:v>
      </x:c>
      <x:c r="H1188" t="n">
        <x:f>IF(G1188&lt;$B$6,1,0)</x:f>
        <x:v>0</x:v>
      </x:c>
      <x:c r="I1188" s="26" t="n">
        <x:f>H1188*IF(F1188=0,E1188*$B$7,-E1188*$B$8)</x:f>
        <x:v>0</x:v>
      </x:c>
    </x:row>
    <x:row r="1189">
      <x:c r="A1189" t="n">
        <x:v>9373</x:v>
      </x:c>
      <x:c r="B1189" t="str">
        <x:v>2024-09</x:v>
      </x:c>
      <x:c r="C1189" t="str">
        <x:v>Contract</x:v>
      </x:c>
      <x:c r="D1189" t="str">
        <x:v>Group A</x:v>
      </x:c>
      <x:c r="E1189" s="26" t="n">
        <x:v>20739.23</x:v>
      </x:c>
      <x:c r="F1189" t="n">
        <x:v>1</x:v>
      </x:c>
      <x:c r="G1189" s="25" t="n">
        <x:v>0.333976</x:v>
      </x:c>
      <x:c r="H1189" t="n">
        <x:f>IF(G1189&lt;$B$6,1,0)</x:f>
        <x:v>0</x:v>
      </x:c>
      <x:c r="I1189" s="26" t="n">
        <x:f>H1189*IF(F1189=0,E1189*$B$7,-E1189*$B$8)</x:f>
        <x:v>0</x:v>
      </x:c>
    </x:row>
    <x:row r="1190">
      <x:c r="A1190" t="n">
        <x:v>9401</x:v>
      </x:c>
      <x:c r="B1190" t="str">
        <x:v>2024-09</x:v>
      </x:c>
      <x:c r="C1190" t="str">
        <x:v>Self employed</x:v>
      </x:c>
      <x:c r="D1190" t="str">
        <x:v>Group B</x:v>
      </x:c>
      <x:c r="E1190" s="26" t="n">
        <x:v>36272.3</x:v>
      </x:c>
      <x:c r="F1190" t="n">
        <x:v>0</x:v>
      </x:c>
      <x:c r="G1190" s="25" t="n">
        <x:v>0.165584</x:v>
      </x:c>
      <x:c r="H1190" t="n">
        <x:f>IF(G1190&lt;$B$6,1,0)</x:f>
        <x:v>0</x:v>
      </x:c>
      <x:c r="I1190" s="26" t="n">
        <x:f>H1190*IF(F1190=0,E1190*$B$7,-E1190*$B$8)</x:f>
        <x:v>0</x:v>
      </x:c>
    </x:row>
    <x:row r="1191">
      <x:c r="A1191" t="n">
        <x:v>9418</x:v>
      </x:c>
      <x:c r="B1191" t="str">
        <x:v>2024-09</x:v>
      </x:c>
      <x:c r="C1191" t="str">
        <x:v>Salaried</x:v>
      </x:c>
      <x:c r="D1191" t="str">
        <x:v>Group B</x:v>
      </x:c>
      <x:c r="E1191" s="26" t="n">
        <x:v>23481.61</x:v>
      </x:c>
      <x:c r="F1191" t="n">
        <x:v>0</x:v>
      </x:c>
      <x:c r="G1191" s="25" t="n">
        <x:v>0.719987</x:v>
      </x:c>
      <x:c r="H1191" t="n">
        <x:f>IF(G1191&lt;$B$6,1,0)</x:f>
        <x:v>0</x:v>
      </x:c>
      <x:c r="I1191" s="26" t="n">
        <x:f>H1191*IF(F1191=0,E1191*$B$7,-E1191*$B$8)</x:f>
        <x:v>0</x:v>
      </x:c>
    </x:row>
    <x:row r="1192">
      <x:c r="A1192" t="n">
        <x:v>9466</x:v>
      </x:c>
      <x:c r="B1192" t="str">
        <x:v>2024-09</x:v>
      </x:c>
      <x:c r="C1192" t="str">
        <x:v>Salaried</x:v>
      </x:c>
      <x:c r="D1192" t="str">
        <x:v>Group B</x:v>
      </x:c>
      <x:c r="E1192" s="26" t="n">
        <x:v>10105.7</x:v>
      </x:c>
      <x:c r="F1192" t="n">
        <x:v>0</x:v>
      </x:c>
      <x:c r="G1192" s="25" t="n">
        <x:v>0.634502</x:v>
      </x:c>
      <x:c r="H1192" t="n">
        <x:f>IF(G1192&lt;$B$6,1,0)</x:f>
        <x:v>0</x:v>
      </x:c>
      <x:c r="I1192" s="26" t="n">
        <x:f>H1192*IF(F1192=0,E1192*$B$7,-E1192*$B$8)</x:f>
        <x:v>0</x:v>
      </x:c>
    </x:row>
    <x:row r="1193">
      <x:c r="A1193" t="n">
        <x:v>9481</x:v>
      </x:c>
      <x:c r="B1193" t="str">
        <x:v>2024-09</x:v>
      </x:c>
      <x:c r="C1193" t="str">
        <x:v>Self employed</x:v>
      </x:c>
      <x:c r="D1193" t="str">
        <x:v>Group B</x:v>
      </x:c>
      <x:c r="E1193" s="26" t="n">
        <x:v>29510.4</x:v>
      </x:c>
      <x:c r="F1193" t="n">
        <x:v>1</x:v>
      </x:c>
      <x:c r="G1193" s="25" t="n">
        <x:v>0.668302</x:v>
      </x:c>
      <x:c r="H1193" t="n">
        <x:f>IF(G1193&lt;$B$6,1,0)</x:f>
        <x:v>0</x:v>
      </x:c>
      <x:c r="I1193" s="26" t="n">
        <x:f>H1193*IF(F1193=0,E1193*$B$7,-E1193*$B$8)</x:f>
        <x:v>0</x:v>
      </x:c>
    </x:row>
    <x:row r="1194">
      <x:c r="A1194" t="n">
        <x:v>9520</x:v>
      </x:c>
      <x:c r="B1194" t="str">
        <x:v>2024-09</x:v>
      </x:c>
      <x:c r="C1194" t="str">
        <x:v>Self employed</x:v>
      </x:c>
      <x:c r="D1194" t="str">
        <x:v>Group A</x:v>
      </x:c>
      <x:c r="E1194" s="26" t="n">
        <x:v>6529</x:v>
      </x:c>
      <x:c r="F1194" t="n">
        <x:v>1</x:v>
      </x:c>
      <x:c r="G1194" s="25" t="n">
        <x:v>0.517574</x:v>
      </x:c>
      <x:c r="H1194" t="n">
        <x:f>IF(G1194&lt;$B$6,1,0)</x:f>
        <x:v>0</x:v>
      </x:c>
      <x:c r="I1194" s="26" t="n">
        <x:f>H1194*IF(F1194=0,E1194*$B$7,-E1194*$B$8)</x:f>
        <x:v>0</x:v>
      </x:c>
    </x:row>
    <x:row r="1195">
      <x:c r="A1195" t="n">
        <x:v>9530</x:v>
      </x:c>
      <x:c r="B1195" t="str">
        <x:v>2024-09</x:v>
      </x:c>
      <x:c r="C1195" t="str">
        <x:v>Salaried</x:v>
      </x:c>
      <x:c r="D1195" t="str">
        <x:v>Group B</x:v>
      </x:c>
      <x:c r="E1195" s="26" t="n">
        <x:v>19122.29</x:v>
      </x:c>
      <x:c r="F1195" t="n">
        <x:v>1</x:v>
      </x:c>
      <x:c r="G1195" s="25" t="n">
        <x:v>0.37096</x:v>
      </x:c>
      <x:c r="H1195" t="n">
        <x:f>IF(G1195&lt;$B$6,1,0)</x:f>
        <x:v>0</x:v>
      </x:c>
      <x:c r="I1195" s="26" t="n">
        <x:f>H1195*IF(F1195=0,E1195*$B$7,-E1195*$B$8)</x:f>
        <x:v>0</x:v>
      </x:c>
    </x:row>
    <x:row r="1196">
      <x:c r="A1196" t="n">
        <x:v>9556</x:v>
      </x:c>
      <x:c r="B1196" t="str">
        <x:v>2024-09</x:v>
      </x:c>
      <x:c r="C1196" t="str">
        <x:v>Salaried</x:v>
      </x:c>
      <x:c r="D1196" t="str">
        <x:v>Group B</x:v>
      </x:c>
      <x:c r="E1196" s="26" t="n">
        <x:v>16935.92</x:v>
      </x:c>
      <x:c r="F1196" t="n">
        <x:v>0</x:v>
      </x:c>
      <x:c r="G1196" s="25" t="n">
        <x:v>0.059415</x:v>
      </x:c>
      <x:c r="H1196" t="n">
        <x:f>IF(G1196&lt;$B$6,1,0)</x:f>
        <x:v>1</x:v>
      </x:c>
      <x:c r="I1196" s="26" t="n">
        <x:f>H1196*IF(F1196=0,E1196*$B$7,-E1196*$B$8)</x:f>
        <x:v>2032.3103999999996</x:v>
      </x:c>
    </x:row>
    <x:row r="1197">
      <x:c r="A1197" t="n">
        <x:v>9585</x:v>
      </x:c>
      <x:c r="B1197" t="str">
        <x:v>2024-09</x:v>
      </x:c>
      <x:c r="C1197" t="str">
        <x:v>Salaried</x:v>
      </x:c>
      <x:c r="D1197" t="str">
        <x:v>Group B</x:v>
      </x:c>
      <x:c r="E1197" s="26" t="n">
        <x:v>39229.1</x:v>
      </x:c>
      <x:c r="F1197" t="n">
        <x:v>0</x:v>
      </x:c>
      <x:c r="G1197" s="25" t="n">
        <x:v>0.171992</x:v>
      </x:c>
      <x:c r="H1197" t="n">
        <x:f>IF(G1197&lt;$B$6,1,0)</x:f>
        <x:v>0</x:v>
      </x:c>
      <x:c r="I1197" s="26" t="n">
        <x:f>H1197*IF(F1197=0,E1197*$B$7,-E1197*$B$8)</x:f>
        <x:v>0</x:v>
      </x:c>
    </x:row>
    <x:row r="1198">
      <x:c r="A1198" t="n">
        <x:v>9588</x:v>
      </x:c>
      <x:c r="B1198" t="str">
        <x:v>2024-09</x:v>
      </x:c>
      <x:c r="C1198" t="str">
        <x:v>Salaried</x:v>
      </x:c>
      <x:c r="D1198" t="str">
        <x:v>Group A</x:v>
      </x:c>
      <x:c r="E1198" s="26" t="n">
        <x:v>65115.97</x:v>
      </x:c>
      <x:c r="F1198" t="n">
        <x:v>1</x:v>
      </x:c>
      <x:c r="G1198" s="25" t="n">
        <x:v>0.819043</x:v>
      </x:c>
      <x:c r="H1198" t="n">
        <x:f>IF(G1198&lt;$B$6,1,0)</x:f>
        <x:v>0</x:v>
      </x:c>
      <x:c r="I1198" s="26" t="n">
        <x:f>H1198*IF(F1198=0,E1198*$B$7,-E1198*$B$8)</x:f>
        <x:v>0</x:v>
      </x:c>
    </x:row>
    <x:row r="1199">
      <x:c r="A1199" t="n">
        <x:v>9601</x:v>
      </x:c>
      <x:c r="B1199" t="str">
        <x:v>2024-09</x:v>
      </x:c>
      <x:c r="C1199" t="str">
        <x:v>Salaried</x:v>
      </x:c>
      <x:c r="D1199" t="str">
        <x:v>Group A</x:v>
      </x:c>
      <x:c r="E1199" s="26" t="n">
        <x:v>5788.18</x:v>
      </x:c>
      <x:c r="F1199" t="n">
        <x:v>0</x:v>
      </x:c>
      <x:c r="G1199" s="25" t="n">
        <x:v>0.041305</x:v>
      </x:c>
      <x:c r="H1199" t="n">
        <x:f>IF(G1199&lt;$B$6,1,0)</x:f>
        <x:v>1</x:v>
      </x:c>
      <x:c r="I1199" s="26" t="n">
        <x:f>H1199*IF(F1199=0,E1199*$B$7,-E1199*$B$8)</x:f>
        <x:v>694.5816</x:v>
      </x:c>
    </x:row>
    <x:row r="1200">
      <x:c r="A1200" t="n">
        <x:v>9609</x:v>
      </x:c>
      <x:c r="B1200" t="str">
        <x:v>2024-09</x:v>
      </x:c>
      <x:c r="C1200" t="str">
        <x:v>Salaried</x:v>
      </x:c>
      <x:c r="D1200" t="str">
        <x:v>Group B</x:v>
      </x:c>
      <x:c r="E1200" s="26" t="n">
        <x:v>65296.87</x:v>
      </x:c>
      <x:c r="F1200" t="n">
        <x:v>1</x:v>
      </x:c>
      <x:c r="G1200" s="25" t="n">
        <x:v>0.407093</x:v>
      </x:c>
      <x:c r="H1200" t="n">
        <x:f>IF(G1200&lt;$B$6,1,0)</x:f>
        <x:v>0</x:v>
      </x:c>
      <x:c r="I1200" s="26" t="n">
        <x:f>H1200*IF(F1200=0,E1200*$B$7,-E1200*$B$8)</x:f>
        <x:v>0</x:v>
      </x:c>
    </x:row>
    <x:row r="1201">
      <x:c r="A1201" t="n">
        <x:v>9652</x:v>
      </x:c>
      <x:c r="B1201" t="str">
        <x:v>2024-09</x:v>
      </x:c>
      <x:c r="C1201" t="str">
        <x:v>Salaried</x:v>
      </x:c>
      <x:c r="D1201" t="str">
        <x:v>Group A</x:v>
      </x:c>
      <x:c r="E1201" s="26" t="n">
        <x:v>6515.43</x:v>
      </x:c>
      <x:c r="F1201" t="n">
        <x:v>0</x:v>
      </x:c>
      <x:c r="G1201" s="25" t="n">
        <x:v>0.550952</x:v>
      </x:c>
      <x:c r="H1201" t="n">
        <x:f>IF(G1201&lt;$B$6,1,0)</x:f>
        <x:v>0</x:v>
      </x:c>
      <x:c r="I1201" s="26" t="n">
        <x:f>H1201*IF(F1201=0,E1201*$B$7,-E1201*$B$8)</x:f>
        <x:v>0</x:v>
      </x:c>
    </x:row>
    <x:row r="1202">
      <x:c r="A1202" t="n">
        <x:v>9670</x:v>
      </x:c>
      <x:c r="B1202" t="str">
        <x:v>2024-09</x:v>
      </x:c>
      <x:c r="C1202" t="str">
        <x:v>Salaried</x:v>
      </x:c>
      <x:c r="D1202" t="str">
        <x:v>Group B</x:v>
      </x:c>
      <x:c r="E1202" s="26" t="n">
        <x:v>32306.73</x:v>
      </x:c>
      <x:c r="F1202" t="n">
        <x:v>0</x:v>
      </x:c>
      <x:c r="G1202" s="25" t="n">
        <x:v>0.260909</x:v>
      </x:c>
      <x:c r="H1202" t="n">
        <x:f>IF(G1202&lt;$B$6,1,0)</x:f>
        <x:v>0</x:v>
      </x:c>
      <x:c r="I1202" s="26" t="n">
        <x:f>H1202*IF(F1202=0,E1202*$B$7,-E1202*$B$8)</x:f>
        <x:v>0</x:v>
      </x:c>
    </x:row>
    <x:row r="1203">
      <x:c r="A1203" t="n">
        <x:v>9775</x:v>
      </x:c>
      <x:c r="B1203" t="str">
        <x:v>2024-09</x:v>
      </x:c>
      <x:c r="C1203" t="str">
        <x:v>Salaried</x:v>
      </x:c>
      <x:c r="D1203" t="str">
        <x:v>Group B</x:v>
      </x:c>
      <x:c r="E1203" s="26" t="n">
        <x:v>27850.02</x:v>
      </x:c>
      <x:c r="F1203" t="n">
        <x:v>1</x:v>
      </x:c>
      <x:c r="G1203" s="25" t="n">
        <x:v>0.336041</x:v>
      </x:c>
      <x:c r="H1203" t="n">
        <x:f>IF(G1203&lt;$B$6,1,0)</x:f>
        <x:v>0</x:v>
      </x:c>
      <x:c r="I1203" s="26" t="n">
        <x:f>H1203*IF(F1203=0,E1203*$B$7,-E1203*$B$8)</x:f>
        <x:v>0</x:v>
      </x:c>
    </x:row>
    <x:row r="1204">
      <x:c r="A1204" t="n">
        <x:v>9780</x:v>
      </x:c>
      <x:c r="B1204" t="str">
        <x:v>2024-09</x:v>
      </x:c>
      <x:c r="C1204" t="str">
        <x:v>Self employed</x:v>
      </x:c>
      <x:c r="D1204" t="str">
        <x:v>Group B</x:v>
      </x:c>
      <x:c r="E1204" s="26" t="n">
        <x:v>20073.56</x:v>
      </x:c>
      <x:c r="F1204" t="n">
        <x:v>0</x:v>
      </x:c>
      <x:c r="G1204" s="25" t="n">
        <x:v>0.131232</x:v>
      </x:c>
      <x:c r="H1204" t="n">
        <x:f>IF(G1204&lt;$B$6,1,0)</x:f>
        <x:v>1</x:v>
      </x:c>
      <x:c r="I1204" s="26" t="n">
        <x:f>H1204*IF(F1204=0,E1204*$B$7,-E1204*$B$8)</x:f>
        <x:v>2408.8272</x:v>
      </x:c>
    </x:row>
    <x:row r="1205">
      <x:c r="A1205" t="n">
        <x:v>9824</x:v>
      </x:c>
      <x:c r="B1205" t="str">
        <x:v>2024-09</x:v>
      </x:c>
      <x:c r="C1205" t="str">
        <x:v>Salaried</x:v>
      </x:c>
      <x:c r="D1205" t="str">
        <x:v>Group B</x:v>
      </x:c>
      <x:c r="E1205" s="26" t="n">
        <x:v>33437.89</x:v>
      </x:c>
      <x:c r="F1205" t="n">
        <x:v>1</x:v>
      </x:c>
      <x:c r="G1205" s="25" t="n">
        <x:v>0.346767</x:v>
      </x:c>
      <x:c r="H1205" t="n">
        <x:f>IF(G1205&lt;$B$6,1,0)</x:f>
        <x:v>0</x:v>
      </x:c>
      <x:c r="I1205" s="26" t="n">
        <x:f>H1205*IF(F1205=0,E1205*$B$7,-E1205*$B$8)</x:f>
        <x:v>0</x:v>
      </x:c>
    </x:row>
    <x:row r="1206">
      <x:c r="A1206" t="n">
        <x:v>9892</x:v>
      </x:c>
      <x:c r="B1206" t="str">
        <x:v>2024-09</x:v>
      </x:c>
      <x:c r="C1206" t="str">
        <x:v>Salaried</x:v>
      </x:c>
      <x:c r="D1206" t="str">
        <x:v>Group B</x:v>
      </x:c>
      <x:c r="E1206" s="26" t="n">
        <x:v>32285.45</x:v>
      </x:c>
      <x:c r="F1206" t="n">
        <x:v>0</x:v>
      </x:c>
      <x:c r="G1206" s="25" t="n">
        <x:v>0.151327</x:v>
      </x:c>
      <x:c r="H1206" t="n">
        <x:f>IF(G1206&lt;$B$6,1,0)</x:f>
        <x:v>1</x:v>
      </x:c>
      <x:c r="I1206" s="26" t="n">
        <x:f>H1206*IF(F1206=0,E1206*$B$7,-E1206*$B$8)</x:f>
        <x:v>3874.254</x:v>
      </x:c>
    </x:row>
    <x:row r="1207">
      <x:c r="A1207" t="n">
        <x:v>9901</x:v>
      </x:c>
      <x:c r="B1207" t="str">
        <x:v>2024-09</x:v>
      </x:c>
      <x:c r="C1207" t="str">
        <x:v>Salaried</x:v>
      </x:c>
      <x:c r="D1207" t="str">
        <x:v>Group A</x:v>
      </x:c>
      <x:c r="E1207" s="26" t="n">
        <x:v>8969.91</x:v>
      </x:c>
      <x:c r="F1207" t="n">
        <x:v>0</x:v>
      </x:c>
      <x:c r="G1207" s="25" t="n">
        <x:v>0.201159</x:v>
      </x:c>
      <x:c r="H1207" t="n">
        <x:f>IF(G1207&lt;$B$6,1,0)</x:f>
        <x:v>0</x:v>
      </x:c>
      <x:c r="I1207" s="26" t="n">
        <x:f>H1207*IF(F1207=0,E1207*$B$7,-E1207*$B$8)</x:f>
        <x:v>0</x:v>
      </x:c>
    </x:row>
    <x:row r="1208">
      <x:c r="A1208" t="n">
        <x:v>9932</x:v>
      </x:c>
      <x:c r="B1208" t="str">
        <x:v>2024-09</x:v>
      </x:c>
      <x:c r="C1208" t="str">
        <x:v>Salaried</x:v>
      </x:c>
      <x:c r="D1208" t="str">
        <x:v>Group A</x:v>
      </x:c>
      <x:c r="E1208" s="26" t="n">
        <x:v>22883.87</x:v>
      </x:c>
      <x:c r="F1208" t="n">
        <x:v>0</x:v>
      </x:c>
      <x:c r="G1208" s="25" t="n">
        <x:v>0.432096</x:v>
      </x:c>
      <x:c r="H1208" t="n">
        <x:f>IF(G1208&lt;$B$6,1,0)</x:f>
        <x:v>0</x:v>
      </x:c>
      <x:c r="I1208" s="26" t="n">
        <x:f>H1208*IF(F1208=0,E1208*$B$7,-E1208*$B$8)</x:f>
        <x:v>0</x:v>
      </x:c>
    </x:row>
    <x:row r="1209">
      <x:c r="A1209" t="n">
        <x:v>9967</x:v>
      </x:c>
      <x:c r="B1209" t="str">
        <x:v>2024-09</x:v>
      </x:c>
      <x:c r="C1209" t="str">
        <x:v>Self employed</x:v>
      </x:c>
      <x:c r="D1209" t="str">
        <x:v>Group A</x:v>
      </x:c>
      <x:c r="E1209" s="26" t="n">
        <x:v>23271.27</x:v>
      </x:c>
      <x:c r="F1209" t="n">
        <x:v>1</x:v>
      </x:c>
      <x:c r="G1209" s="25" t="n">
        <x:v>0.300777</x:v>
      </x:c>
      <x:c r="H1209" t="n">
        <x:f>IF(G1209&lt;$B$6,1,0)</x:f>
        <x:v>0</x:v>
      </x:c>
      <x:c r="I1209" s="26" t="n">
        <x:f>H1209*IF(F1209=0,E1209*$B$7,-E1209*$B$8)</x:f>
        <x:v>0</x:v>
      </x:c>
    </x:row>
    <x:row r="1210">
      <x:c r="A1210" t="n">
        <x:v>9968</x:v>
      </x:c>
      <x:c r="B1210" t="str">
        <x:v>2024-09</x:v>
      </x:c>
      <x:c r="C1210" t="str">
        <x:v>Salaried</x:v>
      </x:c>
      <x:c r="D1210" t="str">
        <x:v>Group A</x:v>
      </x:c>
      <x:c r="E1210" s="26" t="n">
        <x:v>14731.55</x:v>
      </x:c>
      <x:c r="F1210" t="n">
        <x:v>0</x:v>
      </x:c>
      <x:c r="G1210" s="25" t="n">
        <x:v>0.353459</x:v>
      </x:c>
      <x:c r="H1210" t="n">
        <x:f>IF(G1210&lt;$B$6,1,0)</x:f>
        <x:v>0</x:v>
      </x:c>
      <x:c r="I1210" s="26" t="n">
        <x:f>H1210*IF(F1210=0,E1210*$B$7,-E1210*$B$8)</x:f>
        <x:v>0</x:v>
      </x:c>
    </x:row>
    <x:row r="1211">
      <x:c r="A1211" t="n">
        <x:v>9987</x:v>
      </x:c>
      <x:c r="B1211" t="str">
        <x:v>2024-09</x:v>
      </x:c>
      <x:c r="C1211" t="str">
        <x:v>Self employed</x:v>
      </x:c>
      <x:c r="D1211" t="str">
        <x:v>Group A</x:v>
      </x:c>
      <x:c r="E1211" s="26" t="n">
        <x:v>5683.15</x:v>
      </x:c>
      <x:c r="F1211" t="n">
        <x:v>0</x:v>
      </x:c>
      <x:c r="G1211" s="25" t="n">
        <x:v>0.033234</x:v>
      </x:c>
      <x:c r="H1211" t="n">
        <x:f>IF(G1211&lt;$B$6,1,0)</x:f>
        <x:v>1</x:v>
      </x:c>
      <x:c r="I1211" s="26" t="n">
        <x:f>H1211*IF(F1211=0,E1211*$B$7,-E1211*$B$8)</x:f>
        <x:v>681.978</x:v>
      </x:c>
    </x:row>
    <x:row r="1212">
      <x:c r="A1212" t="n">
        <x:v>52</x:v>
      </x:c>
      <x:c r="B1212" t="str">
        <x:v>2024-10</x:v>
      </x:c>
      <x:c r="C1212" t="str">
        <x:v>Salaried</x:v>
      </x:c>
      <x:c r="D1212" t="str">
        <x:v>Group B</x:v>
      </x:c>
      <x:c r="E1212" s="26" t="n">
        <x:v>11773.05</x:v>
      </x:c>
      <x:c r="F1212" t="n">
        <x:v>0</x:v>
      </x:c>
      <x:c r="G1212" s="25" t="n">
        <x:v>0.368963</x:v>
      </x:c>
      <x:c r="H1212" t="n">
        <x:f>IF(G1212&lt;$B$6,1,0)</x:f>
        <x:v>0</x:v>
      </x:c>
      <x:c r="I1212" s="26" t="n">
        <x:f>H1212*IF(F1212=0,E1212*$B$7,-E1212*$B$8)</x:f>
        <x:v>0</x:v>
      </x:c>
    </x:row>
    <x:row r="1213">
      <x:c r="A1213" t="n">
        <x:v>97</x:v>
      </x:c>
      <x:c r="B1213" t="str">
        <x:v>2024-10</x:v>
      </x:c>
      <x:c r="C1213" t="str">
        <x:v>Salaried</x:v>
      </x:c>
      <x:c r="D1213" t="str">
        <x:v>Group B</x:v>
      </x:c>
      <x:c r="E1213" s="26" t="n">
        <x:v>11584.54</x:v>
      </x:c>
      <x:c r="F1213" t="n">
        <x:v>0</x:v>
      </x:c>
      <x:c r="G1213" s="25" t="n">
        <x:v>0.351364</x:v>
      </x:c>
      <x:c r="H1213" t="n">
        <x:f>IF(G1213&lt;$B$6,1,0)</x:f>
        <x:v>0</x:v>
      </x:c>
      <x:c r="I1213" s="26" t="n">
        <x:f>H1213*IF(F1213=0,E1213*$B$7,-E1213*$B$8)</x:f>
        <x:v>0</x:v>
      </x:c>
    </x:row>
    <x:row r="1214">
      <x:c r="A1214" t="n">
        <x:v>130</x:v>
      </x:c>
      <x:c r="B1214" t="str">
        <x:v>2024-10</x:v>
      </x:c>
      <x:c r="C1214" t="str">
        <x:v>Salaried</x:v>
      </x:c>
      <x:c r="D1214" t="str">
        <x:v>Group B</x:v>
      </x:c>
      <x:c r="E1214" s="26" t="n">
        <x:v>13767.44</x:v>
      </x:c>
      <x:c r="F1214" t="n">
        <x:v>1</x:v>
      </x:c>
      <x:c r="G1214" s="25" t="n">
        <x:v>0.335698</x:v>
      </x:c>
      <x:c r="H1214" t="n">
        <x:f>IF(G1214&lt;$B$6,1,0)</x:f>
        <x:v>0</x:v>
      </x:c>
      <x:c r="I1214" s="26" t="n">
        <x:f>H1214*IF(F1214=0,E1214*$B$7,-E1214*$B$8)</x:f>
        <x:v>0</x:v>
      </x:c>
    </x:row>
    <x:row r="1215">
      <x:c r="A1215" t="n">
        <x:v>199</x:v>
      </x:c>
      <x:c r="B1215" t="str">
        <x:v>2024-10</x:v>
      </x:c>
      <x:c r="C1215" t="str">
        <x:v>Salaried</x:v>
      </x:c>
      <x:c r="D1215" t="str">
        <x:v>Group B</x:v>
      </x:c>
      <x:c r="E1215" s="26" t="n">
        <x:v>54867.65</x:v>
      </x:c>
      <x:c r="F1215" t="n">
        <x:v>1</x:v>
      </x:c>
      <x:c r="G1215" s="25" t="n">
        <x:v>0.591967</x:v>
      </x:c>
      <x:c r="H1215" t="n">
        <x:f>IF(G1215&lt;$B$6,1,0)</x:f>
        <x:v>0</x:v>
      </x:c>
      <x:c r="I1215" s="26" t="n">
        <x:f>H1215*IF(F1215=0,E1215*$B$7,-E1215*$B$8)</x:f>
        <x:v>0</x:v>
      </x:c>
    </x:row>
    <x:row r="1216">
      <x:c r="A1216" t="n">
        <x:v>203</x:v>
      </x:c>
      <x:c r="B1216" t="str">
        <x:v>2024-10</x:v>
      </x:c>
      <x:c r="C1216" t="str">
        <x:v>Self employed</x:v>
      </x:c>
      <x:c r="D1216" t="str">
        <x:v>Group A</x:v>
      </x:c>
      <x:c r="E1216" s="26" t="n">
        <x:v>19515.62</x:v>
      </x:c>
      <x:c r="F1216" t="n">
        <x:v>1</x:v>
      </x:c>
      <x:c r="G1216" s="25" t="n">
        <x:v>0.06258</x:v>
      </x:c>
      <x:c r="H1216" t="n">
        <x:f>IF(G1216&lt;$B$6,1,0)</x:f>
        <x:v>1</x:v>
      </x:c>
      <x:c r="I1216" s="26" t="n">
        <x:f>H1216*IF(F1216=0,E1216*$B$7,-E1216*$B$8)</x:f>
        <x:v>-12685.153</x:v>
      </x:c>
    </x:row>
    <x:row r="1217">
      <x:c r="A1217" t="n">
        <x:v>230</x:v>
      </x:c>
      <x:c r="B1217" t="str">
        <x:v>2024-10</x:v>
      </x:c>
      <x:c r="C1217" t="str">
        <x:v>Contract</x:v>
      </x:c>
      <x:c r="D1217" t="str">
        <x:v>Group B</x:v>
      </x:c>
      <x:c r="E1217" s="26" t="n">
        <x:v>20115.03</x:v>
      </x:c>
      <x:c r="F1217" t="n">
        <x:v>1</x:v>
      </x:c>
      <x:c r="G1217" s="25" t="n">
        <x:v>0.179318</x:v>
      </x:c>
      <x:c r="H1217" t="n">
        <x:f>IF(G1217&lt;$B$6,1,0)</x:f>
        <x:v>0</x:v>
      </x:c>
      <x:c r="I1217" s="26" t="n">
        <x:f>H1217*IF(F1217=0,E1217*$B$7,-E1217*$B$8)</x:f>
        <x:v>0</x:v>
      </x:c>
    </x:row>
    <x:row r="1218">
      <x:c r="A1218" t="n">
        <x:v>275</x:v>
      </x:c>
      <x:c r="B1218" t="str">
        <x:v>2024-10</x:v>
      </x:c>
      <x:c r="C1218" t="str">
        <x:v>Salaried</x:v>
      </x:c>
      <x:c r="D1218" t="str">
        <x:v>Group A</x:v>
      </x:c>
      <x:c r="E1218" s="26" t="n">
        <x:v>19654.26</x:v>
      </x:c>
      <x:c r="F1218" t="n">
        <x:v>0</x:v>
      </x:c>
      <x:c r="G1218" s="25" t="n">
        <x:v>0.123301</x:v>
      </x:c>
      <x:c r="H1218" t="n">
        <x:f>IF(G1218&lt;$B$6,1,0)</x:f>
        <x:v>1</x:v>
      </x:c>
      <x:c r="I1218" s="26" t="n">
        <x:f>H1218*IF(F1218=0,E1218*$B$7,-E1218*$B$8)</x:f>
        <x:v>2358.5112</x:v>
      </x:c>
    </x:row>
    <x:row r="1219">
      <x:c r="A1219" t="n">
        <x:v>308</x:v>
      </x:c>
      <x:c r="B1219" t="str">
        <x:v>2024-10</x:v>
      </x:c>
      <x:c r="C1219" t="str">
        <x:v>Salaried</x:v>
      </x:c>
      <x:c r="D1219" t="str">
        <x:v>Group B</x:v>
      </x:c>
      <x:c r="E1219" s="26" t="n">
        <x:v>18104.57</x:v>
      </x:c>
      <x:c r="F1219" t="n">
        <x:v>0</x:v>
      </x:c>
      <x:c r="G1219" s="25" t="n">
        <x:v>0.083447</x:v>
      </x:c>
      <x:c r="H1219" t="n">
        <x:f>IF(G1219&lt;$B$6,1,0)</x:f>
        <x:v>1</x:v>
      </x:c>
      <x:c r="I1219" s="26" t="n">
        <x:f>H1219*IF(F1219=0,E1219*$B$7,-E1219*$B$8)</x:f>
        <x:v>2172.5483999999997</x:v>
      </x:c>
    </x:row>
    <x:row r="1220">
      <x:c r="A1220" t="n">
        <x:v>310</x:v>
      </x:c>
      <x:c r="B1220" t="str">
        <x:v>2024-10</x:v>
      </x:c>
      <x:c r="C1220" t="str">
        <x:v>Salaried</x:v>
      </x:c>
      <x:c r="D1220" t="str">
        <x:v>Group A</x:v>
      </x:c>
      <x:c r="E1220" s="26" t="n">
        <x:v>2856.03</x:v>
      </x:c>
      <x:c r="F1220" t="n">
        <x:v>1</x:v>
      </x:c>
      <x:c r="G1220" s="25" t="n">
        <x:v>0.069795</x:v>
      </x:c>
      <x:c r="H1220" t="n">
        <x:f>IF(G1220&lt;$B$6,1,0)</x:f>
        <x:v>1</x:v>
      </x:c>
      <x:c r="I1220" s="26" t="n">
        <x:f>H1220*IF(F1220=0,E1220*$B$7,-E1220*$B$8)</x:f>
        <x:v>-1856.4195000000002</x:v>
      </x:c>
    </x:row>
    <x:row r="1221">
      <x:c r="A1221" t="n">
        <x:v>346</x:v>
      </x:c>
      <x:c r="B1221" t="str">
        <x:v>2024-10</x:v>
      </x:c>
      <x:c r="C1221" t="str">
        <x:v>Salaried</x:v>
      </x:c>
      <x:c r="D1221" t="str">
        <x:v>Group A</x:v>
      </x:c>
      <x:c r="E1221" s="26" t="n">
        <x:v>14675.8</x:v>
      </x:c>
      <x:c r="F1221" t="n">
        <x:v>1</x:v>
      </x:c>
      <x:c r="G1221" s="25" t="n">
        <x:v>0.319033</x:v>
      </x:c>
      <x:c r="H1221" t="n">
        <x:f>IF(G1221&lt;$B$6,1,0)</x:f>
        <x:v>0</x:v>
      </x:c>
      <x:c r="I1221" s="26" t="n">
        <x:f>H1221*IF(F1221=0,E1221*$B$7,-E1221*$B$8)</x:f>
        <x:v>0</x:v>
      </x:c>
    </x:row>
    <x:row r="1222">
      <x:c r="A1222" t="n">
        <x:v>381</x:v>
      </x:c>
      <x:c r="B1222" t="str">
        <x:v>2024-10</x:v>
      </x:c>
      <x:c r="C1222" t="str">
        <x:v>Contract</x:v>
      </x:c>
      <x:c r="D1222" t="str">
        <x:v>Group A</x:v>
      </x:c>
      <x:c r="E1222" s="26" t="n">
        <x:v>12599.04</x:v>
      </x:c>
      <x:c r="F1222" t="n">
        <x:v>1</x:v>
      </x:c>
      <x:c r="G1222" s="25" t="n">
        <x:v>0.18542</x:v>
      </x:c>
      <x:c r="H1222" t="n">
        <x:f>IF(G1222&lt;$B$6,1,0)</x:f>
        <x:v>0</x:v>
      </x:c>
      <x:c r="I1222" s="26" t="n">
        <x:f>H1222*IF(F1222=0,E1222*$B$7,-E1222*$B$8)</x:f>
        <x:v>0</x:v>
      </x:c>
    </x:row>
    <x:row r="1223">
      <x:c r="A1223" t="n">
        <x:v>423</x:v>
      </x:c>
      <x:c r="B1223" t="str">
        <x:v>2024-10</x:v>
      </x:c>
      <x:c r="C1223" t="str">
        <x:v>Self employed</x:v>
      </x:c>
      <x:c r="D1223" t="str">
        <x:v>Group B</x:v>
      </x:c>
      <x:c r="E1223" s="26" t="n">
        <x:v>8166.32</x:v>
      </x:c>
      <x:c r="F1223" t="n">
        <x:v>0</x:v>
      </x:c>
      <x:c r="G1223" s="25" t="n">
        <x:v>0.453974</x:v>
      </x:c>
      <x:c r="H1223" t="n">
        <x:f>IF(G1223&lt;$B$6,1,0)</x:f>
        <x:v>0</x:v>
      </x:c>
      <x:c r="I1223" s="26" t="n">
        <x:f>H1223*IF(F1223=0,E1223*$B$7,-E1223*$B$8)</x:f>
        <x:v>0</x:v>
      </x:c>
    </x:row>
    <x:row r="1224">
      <x:c r="A1224" t="n">
        <x:v>435</x:v>
      </x:c>
      <x:c r="B1224" t="str">
        <x:v>2024-10</x:v>
      </x:c>
      <x:c r="C1224" t="str">
        <x:v>Contract</x:v>
      </x:c>
      <x:c r="D1224" t="str">
        <x:v>Group A</x:v>
      </x:c>
      <x:c r="E1224" s="26" t="n">
        <x:v>31370.3</x:v>
      </x:c>
      <x:c r="F1224" t="n">
        <x:v>1</x:v>
      </x:c>
      <x:c r="G1224" s="25" t="n">
        <x:v>0.45612</x:v>
      </x:c>
      <x:c r="H1224" t="n">
        <x:f>IF(G1224&lt;$B$6,1,0)</x:f>
        <x:v>0</x:v>
      </x:c>
      <x:c r="I1224" s="26" t="n">
        <x:f>H1224*IF(F1224=0,E1224*$B$7,-E1224*$B$8)</x:f>
        <x:v>0</x:v>
      </x:c>
    </x:row>
    <x:row r="1225">
      <x:c r="A1225" t="n">
        <x:v>439</x:v>
      </x:c>
      <x:c r="B1225" t="str">
        <x:v>2024-10</x:v>
      </x:c>
      <x:c r="C1225" t="str">
        <x:v>Salaried</x:v>
      </x:c>
      <x:c r="D1225" t="str">
        <x:v>Group B</x:v>
      </x:c>
      <x:c r="E1225" s="26" t="n">
        <x:v>19993.99</x:v>
      </x:c>
      <x:c r="F1225" t="n">
        <x:v>0</x:v>
      </x:c>
      <x:c r="G1225" s="25" t="n">
        <x:v>0.145489</x:v>
      </x:c>
      <x:c r="H1225" t="n">
        <x:f>IF(G1225&lt;$B$6,1,0)</x:f>
        <x:v>1</x:v>
      </x:c>
      <x:c r="I1225" s="26" t="n">
        <x:f>H1225*IF(F1225=0,E1225*$B$7,-E1225*$B$8)</x:f>
        <x:v>2399.2788</x:v>
      </x:c>
    </x:row>
    <x:row r="1226">
      <x:c r="A1226" t="n">
        <x:v>441</x:v>
      </x:c>
      <x:c r="B1226" t="str">
        <x:v>2024-10</x:v>
      </x:c>
      <x:c r="C1226" t="str">
        <x:v>Salaried</x:v>
      </x:c>
      <x:c r="D1226" t="str">
        <x:v>Group A</x:v>
      </x:c>
      <x:c r="E1226" s="26" t="n">
        <x:v>7720.65</x:v>
      </x:c>
      <x:c r="F1226" t="n">
        <x:v>0</x:v>
      </x:c>
      <x:c r="G1226" s="25" t="n">
        <x:v>0.239027</x:v>
      </x:c>
      <x:c r="H1226" t="n">
        <x:f>IF(G1226&lt;$B$6,1,0)</x:f>
        <x:v>0</x:v>
      </x:c>
      <x:c r="I1226" s="26" t="n">
        <x:f>H1226*IF(F1226=0,E1226*$B$7,-E1226*$B$8)</x:f>
        <x:v>0</x:v>
      </x:c>
    </x:row>
    <x:row r="1227">
      <x:c r="A1227" t="n">
        <x:v>464</x:v>
      </x:c>
      <x:c r="B1227" t="str">
        <x:v>2024-10</x:v>
      </x:c>
      <x:c r="C1227" t="str">
        <x:v>Contract</x:v>
      </x:c>
      <x:c r="D1227" t="str">
        <x:v>Group A</x:v>
      </x:c>
      <x:c r="E1227" s="26" t="n">
        <x:v>24712.48</x:v>
      </x:c>
      <x:c r="F1227" t="n">
        <x:v>0</x:v>
      </x:c>
      <x:c r="G1227" s="25" t="n">
        <x:v>0.222621</x:v>
      </x:c>
      <x:c r="H1227" t="n">
        <x:f>IF(G1227&lt;$B$6,1,0)</x:f>
        <x:v>0</x:v>
      </x:c>
      <x:c r="I1227" s="26" t="n">
        <x:f>H1227*IF(F1227=0,E1227*$B$7,-E1227*$B$8)</x:f>
        <x:v>0</x:v>
      </x:c>
    </x:row>
    <x:row r="1228">
      <x:c r="A1228" t="n">
        <x:v>466</x:v>
      </x:c>
      <x:c r="B1228" t="str">
        <x:v>2024-10</x:v>
      </x:c>
      <x:c r="C1228" t="str">
        <x:v>Self employed</x:v>
      </x:c>
      <x:c r="D1228" t="str">
        <x:v>Group A</x:v>
      </x:c>
      <x:c r="E1228" s="26" t="n">
        <x:v>8229.12</x:v>
      </x:c>
      <x:c r="F1228" t="n">
        <x:v>0</x:v>
      </x:c>
      <x:c r="G1228" s="25" t="n">
        <x:v>0.158269</x:v>
      </x:c>
      <x:c r="H1228" t="n">
        <x:f>IF(G1228&lt;$B$6,1,0)</x:f>
        <x:v>1</x:v>
      </x:c>
      <x:c r="I1228" s="26" t="n">
        <x:f>H1228*IF(F1228=0,E1228*$B$7,-E1228*$B$8)</x:f>
        <x:v>987.4944</x:v>
      </x:c>
    </x:row>
    <x:row r="1229">
      <x:c r="A1229" t="n">
        <x:v>479</x:v>
      </x:c>
      <x:c r="B1229" t="str">
        <x:v>2024-10</x:v>
      </x:c>
      <x:c r="C1229" t="str">
        <x:v>Salaried</x:v>
      </x:c>
      <x:c r="D1229" t="str">
        <x:v>Group A</x:v>
      </x:c>
      <x:c r="E1229" s="26" t="n">
        <x:v>17959.47</x:v>
      </x:c>
      <x:c r="F1229" t="n">
        <x:v>1</x:v>
      </x:c>
      <x:c r="G1229" s="25" t="n">
        <x:v>0.409056</x:v>
      </x:c>
      <x:c r="H1229" t="n">
        <x:f>IF(G1229&lt;$B$6,1,0)</x:f>
        <x:v>0</x:v>
      </x:c>
      <x:c r="I1229" s="26" t="n">
        <x:f>H1229*IF(F1229=0,E1229*$B$7,-E1229*$B$8)</x:f>
        <x:v>0</x:v>
      </x:c>
    </x:row>
    <x:row r="1230">
      <x:c r="A1230" t="n">
        <x:v>555</x:v>
      </x:c>
      <x:c r="B1230" t="str">
        <x:v>2024-10</x:v>
      </x:c>
      <x:c r="C1230" t="str">
        <x:v>Self employed</x:v>
      </x:c>
      <x:c r="D1230" t="str">
        <x:v>Group B</x:v>
      </x:c>
      <x:c r="E1230" s="26" t="n">
        <x:v>16387.01</x:v>
      </x:c>
      <x:c r="F1230" t="n">
        <x:v>0</x:v>
      </x:c>
      <x:c r="G1230" s="25" t="n">
        <x:v>0.312291</x:v>
      </x:c>
      <x:c r="H1230" t="n">
        <x:f>IF(G1230&lt;$B$6,1,0)</x:f>
        <x:v>0</x:v>
      </x:c>
      <x:c r="I1230" s="26" t="n">
        <x:f>H1230*IF(F1230=0,E1230*$B$7,-E1230*$B$8)</x:f>
        <x:v>0</x:v>
      </x:c>
    </x:row>
    <x:row r="1231">
      <x:c r="A1231" t="n">
        <x:v>580</x:v>
      </x:c>
      <x:c r="B1231" t="str">
        <x:v>2024-10</x:v>
      </x:c>
      <x:c r="C1231" t="str">
        <x:v>Salaried</x:v>
      </x:c>
      <x:c r="D1231" t="str">
        <x:v>Group A</x:v>
      </x:c>
      <x:c r="E1231" s="26" t="n">
        <x:v>38377.5</x:v>
      </x:c>
      <x:c r="F1231" t="n">
        <x:v>0</x:v>
      </x:c>
      <x:c r="G1231" s="25" t="n">
        <x:v>0.226446</x:v>
      </x:c>
      <x:c r="H1231" t="n">
        <x:f>IF(G1231&lt;$B$6,1,0)</x:f>
        <x:v>0</x:v>
      </x:c>
      <x:c r="I1231" s="26" t="n">
        <x:f>H1231*IF(F1231=0,E1231*$B$7,-E1231*$B$8)</x:f>
        <x:v>0</x:v>
      </x:c>
    </x:row>
    <x:row r="1232">
      <x:c r="A1232" t="n">
        <x:v>610</x:v>
      </x:c>
      <x:c r="B1232" t="str">
        <x:v>2024-10</x:v>
      </x:c>
      <x:c r="C1232" t="str">
        <x:v>Salaried</x:v>
      </x:c>
      <x:c r="D1232" t="str">
        <x:v>Group A</x:v>
      </x:c>
      <x:c r="E1232" s="26" t="n">
        <x:v>45836.83</x:v>
      </x:c>
      <x:c r="F1232" t="n">
        <x:v>0</x:v>
      </x:c>
      <x:c r="G1232" s="25" t="n">
        <x:v>0.119425</x:v>
      </x:c>
      <x:c r="H1232" t="n">
        <x:f>IF(G1232&lt;$B$6,1,0)</x:f>
        <x:v>1</x:v>
      </x:c>
      <x:c r="I1232" s="26" t="n">
        <x:f>H1232*IF(F1232=0,E1232*$B$7,-E1232*$B$8)</x:f>
        <x:v>5500.4196</x:v>
      </x:c>
    </x:row>
    <x:row r="1233">
      <x:c r="A1233" t="n">
        <x:v>675</x:v>
      </x:c>
      <x:c r="B1233" t="str">
        <x:v>2024-10</x:v>
      </x:c>
      <x:c r="C1233" t="str">
        <x:v>Salaried</x:v>
      </x:c>
      <x:c r="D1233" t="str">
        <x:v>Group A</x:v>
      </x:c>
      <x:c r="E1233" s="26" t="n">
        <x:v>7464.82</x:v>
      </x:c>
      <x:c r="F1233" t="n">
        <x:v>1</x:v>
      </x:c>
      <x:c r="G1233" s="25" t="n">
        <x:v>0.355001</x:v>
      </x:c>
      <x:c r="H1233" t="n">
        <x:f>IF(G1233&lt;$B$6,1,0)</x:f>
        <x:v>0</x:v>
      </x:c>
      <x:c r="I1233" s="26" t="n">
        <x:f>H1233*IF(F1233=0,E1233*$B$7,-E1233*$B$8)</x:f>
        <x:v>0</x:v>
      </x:c>
    </x:row>
    <x:row r="1234">
      <x:c r="A1234" t="n">
        <x:v>718</x:v>
      </x:c>
      <x:c r="B1234" t="str">
        <x:v>2024-10</x:v>
      </x:c>
      <x:c r="C1234" t="str">
        <x:v>Salaried</x:v>
      </x:c>
      <x:c r="D1234" t="str">
        <x:v>Group B</x:v>
      </x:c>
      <x:c r="E1234" s="26" t="n">
        <x:v>6904.61</x:v>
      </x:c>
      <x:c r="F1234" t="n">
        <x:v>1</x:v>
      </x:c>
      <x:c r="G1234" s="25" t="n">
        <x:v>0.301312</x:v>
      </x:c>
      <x:c r="H1234" t="n">
        <x:f>IF(G1234&lt;$B$6,1,0)</x:f>
        <x:v>0</x:v>
      </x:c>
      <x:c r="I1234" s="26" t="n">
        <x:f>H1234*IF(F1234=0,E1234*$B$7,-E1234*$B$8)</x:f>
        <x:v>0</x:v>
      </x:c>
    </x:row>
    <x:row r="1235">
      <x:c r="A1235" t="n">
        <x:v>724</x:v>
      </x:c>
      <x:c r="B1235" t="str">
        <x:v>2024-10</x:v>
      </x:c>
      <x:c r="C1235" t="str">
        <x:v>Salaried</x:v>
      </x:c>
      <x:c r="D1235" t="str">
        <x:v>Group A</x:v>
      </x:c>
      <x:c r="E1235" s="26" t="n">
        <x:v>12525.82</x:v>
      </x:c>
      <x:c r="F1235" t="n">
        <x:v>0</x:v>
      </x:c>
      <x:c r="G1235" s="25" t="n">
        <x:v>0.03794</x:v>
      </x:c>
      <x:c r="H1235" t="n">
        <x:f>IF(G1235&lt;$B$6,1,0)</x:f>
        <x:v>1</x:v>
      </x:c>
      <x:c r="I1235" s="26" t="n">
        <x:f>H1235*IF(F1235=0,E1235*$B$7,-E1235*$B$8)</x:f>
        <x:v>1503.0983999999999</x:v>
      </x:c>
    </x:row>
    <x:row r="1236">
      <x:c r="A1236" t="n">
        <x:v>759</x:v>
      </x:c>
      <x:c r="B1236" t="str">
        <x:v>2024-10</x:v>
      </x:c>
      <x:c r="C1236" t="str">
        <x:v>Self employed</x:v>
      </x:c>
      <x:c r="D1236" t="str">
        <x:v>Group B</x:v>
      </x:c>
      <x:c r="E1236" s="26" t="n">
        <x:v>29654.22</x:v>
      </x:c>
      <x:c r="F1236" t="n">
        <x:v>0</x:v>
      </x:c>
      <x:c r="G1236" s="25" t="n">
        <x:v>0.39688</x:v>
      </x:c>
      <x:c r="H1236" t="n">
        <x:f>IF(G1236&lt;$B$6,1,0)</x:f>
        <x:v>0</x:v>
      </x:c>
      <x:c r="I1236" s="26" t="n">
        <x:f>H1236*IF(F1236=0,E1236*$B$7,-E1236*$B$8)</x:f>
        <x:v>0</x:v>
      </x:c>
    </x:row>
    <x:row r="1237">
      <x:c r="A1237" t="n">
        <x:v>788</x:v>
      </x:c>
      <x:c r="B1237" t="str">
        <x:v>2024-10</x:v>
      </x:c>
      <x:c r="C1237" t="str">
        <x:v>Salaried</x:v>
      </x:c>
      <x:c r="D1237" t="str">
        <x:v>Group B</x:v>
      </x:c>
      <x:c r="E1237" s="26" t="n">
        <x:v>14534.96</x:v>
      </x:c>
      <x:c r="F1237" t="n">
        <x:v>0</x:v>
      </x:c>
      <x:c r="G1237" s="25" t="n">
        <x:v>0.378541</x:v>
      </x:c>
      <x:c r="H1237" t="n">
        <x:f>IF(G1237&lt;$B$6,1,0)</x:f>
        <x:v>0</x:v>
      </x:c>
      <x:c r="I1237" s="26" t="n">
        <x:f>H1237*IF(F1237=0,E1237*$B$7,-E1237*$B$8)</x:f>
        <x:v>0</x:v>
      </x:c>
    </x:row>
    <x:row r="1238">
      <x:c r="A1238" t="n">
        <x:v>828</x:v>
      </x:c>
      <x:c r="B1238" t="str">
        <x:v>2024-10</x:v>
      </x:c>
      <x:c r="C1238" t="str">
        <x:v>Salaried</x:v>
      </x:c>
      <x:c r="D1238" t="str">
        <x:v>Group B</x:v>
      </x:c>
      <x:c r="E1238" s="26" t="n">
        <x:v>27813.36</x:v>
      </x:c>
      <x:c r="F1238" t="n">
        <x:v>0</x:v>
      </x:c>
      <x:c r="G1238" s="25" t="n">
        <x:v>0.318956</x:v>
      </x:c>
      <x:c r="H1238" t="n">
        <x:f>IF(G1238&lt;$B$6,1,0)</x:f>
        <x:v>0</x:v>
      </x:c>
      <x:c r="I1238" s="26" t="n">
        <x:f>H1238*IF(F1238=0,E1238*$B$7,-E1238*$B$8)</x:f>
        <x:v>0</x:v>
      </x:c>
    </x:row>
    <x:row r="1239">
      <x:c r="A1239" t="n">
        <x:v>833</x:v>
      </x:c>
      <x:c r="B1239" t="str">
        <x:v>2024-10</x:v>
      </x:c>
      <x:c r="C1239" t="str">
        <x:v>Salaried</x:v>
      </x:c>
      <x:c r="D1239" t="str">
        <x:v>Group B</x:v>
      </x:c>
      <x:c r="E1239" s="26" t="n">
        <x:v>38796.84</x:v>
      </x:c>
      <x:c r="F1239" t="n">
        <x:v>0</x:v>
      </x:c>
      <x:c r="G1239" s="25" t="n">
        <x:v>0.274334</x:v>
      </x:c>
      <x:c r="H1239" t="n">
        <x:f>IF(G1239&lt;$B$6,1,0)</x:f>
        <x:v>0</x:v>
      </x:c>
      <x:c r="I1239" s="26" t="n">
        <x:f>H1239*IF(F1239=0,E1239*$B$7,-E1239*$B$8)</x:f>
        <x:v>0</x:v>
      </x:c>
    </x:row>
    <x:row r="1240">
      <x:c r="A1240" t="n">
        <x:v>902</x:v>
      </x:c>
      <x:c r="B1240" t="str">
        <x:v>2024-10</x:v>
      </x:c>
      <x:c r="C1240" t="str">
        <x:v>Self employed</x:v>
      </x:c>
      <x:c r="D1240" t="str">
        <x:v>Group B</x:v>
      </x:c>
      <x:c r="E1240" s="26" t="n">
        <x:v>10658.17</x:v>
      </x:c>
      <x:c r="F1240" t="n">
        <x:v>1</x:v>
      </x:c>
      <x:c r="G1240" s="25" t="n">
        <x:v>0.12227</x:v>
      </x:c>
      <x:c r="H1240" t="n">
        <x:f>IF(G1240&lt;$B$6,1,0)</x:f>
        <x:v>1</x:v>
      </x:c>
      <x:c r="I1240" s="26" t="n">
        <x:f>H1240*IF(F1240=0,E1240*$B$7,-E1240*$B$8)</x:f>
        <x:v>-6927.8105000000005</x:v>
      </x:c>
    </x:row>
    <x:row r="1241">
      <x:c r="A1241" t="n">
        <x:v>904</x:v>
      </x:c>
      <x:c r="B1241" t="str">
        <x:v>2024-10</x:v>
      </x:c>
      <x:c r="C1241" t="str">
        <x:v>Salaried</x:v>
      </x:c>
      <x:c r="D1241" t="str">
        <x:v>Group B</x:v>
      </x:c>
      <x:c r="E1241" s="26" t="n">
        <x:v>8624.3</x:v>
      </x:c>
      <x:c r="F1241" t="n">
        <x:v>0</x:v>
      </x:c>
      <x:c r="G1241" s="25" t="n">
        <x:v>0.48429</x:v>
      </x:c>
      <x:c r="H1241" t="n">
        <x:f>IF(G1241&lt;$B$6,1,0)</x:f>
        <x:v>0</x:v>
      </x:c>
      <x:c r="I1241" s="26" t="n">
        <x:f>H1241*IF(F1241=0,E1241*$B$7,-E1241*$B$8)</x:f>
        <x:v>0</x:v>
      </x:c>
    </x:row>
    <x:row r="1242">
      <x:c r="A1242" t="n">
        <x:v>906</x:v>
      </x:c>
      <x:c r="B1242" t="str">
        <x:v>2024-10</x:v>
      </x:c>
      <x:c r="C1242" t="str">
        <x:v>Salaried</x:v>
      </x:c>
      <x:c r="D1242" t="str">
        <x:v>Group B</x:v>
      </x:c>
      <x:c r="E1242" s="26" t="n">
        <x:v>11087.26</x:v>
      </x:c>
      <x:c r="F1242" t="n">
        <x:v>0</x:v>
      </x:c>
      <x:c r="G1242" s="25" t="n">
        <x:v>0.222513</x:v>
      </x:c>
      <x:c r="H1242" t="n">
        <x:f>IF(G1242&lt;$B$6,1,0)</x:f>
        <x:v>0</x:v>
      </x:c>
      <x:c r="I1242" s="26" t="n">
        <x:f>H1242*IF(F1242=0,E1242*$B$7,-E1242*$B$8)</x:f>
        <x:v>0</x:v>
      </x:c>
    </x:row>
    <x:row r="1243">
      <x:c r="A1243" t="n">
        <x:v>914</x:v>
      </x:c>
      <x:c r="B1243" t="str">
        <x:v>2024-10</x:v>
      </x:c>
      <x:c r="C1243" t="str">
        <x:v>Salaried</x:v>
      </x:c>
      <x:c r="D1243" t="str">
        <x:v>Group A</x:v>
      </x:c>
      <x:c r="E1243" s="26" t="n">
        <x:v>14224.58</x:v>
      </x:c>
      <x:c r="F1243" t="n">
        <x:v>1</x:v>
      </x:c>
      <x:c r="G1243" s="25" t="n">
        <x:v>0.330191</x:v>
      </x:c>
      <x:c r="H1243" t="n">
        <x:f>IF(G1243&lt;$B$6,1,0)</x:f>
        <x:v>0</x:v>
      </x:c>
      <x:c r="I1243" s="26" t="n">
        <x:f>H1243*IF(F1243=0,E1243*$B$7,-E1243*$B$8)</x:f>
        <x:v>0</x:v>
      </x:c>
    </x:row>
    <x:row r="1244">
      <x:c r="A1244" t="n">
        <x:v>936</x:v>
      </x:c>
      <x:c r="B1244" t="str">
        <x:v>2024-10</x:v>
      </x:c>
      <x:c r="C1244" t="str">
        <x:v>Salaried</x:v>
      </x:c>
      <x:c r="D1244" t="str">
        <x:v>Group B</x:v>
      </x:c>
      <x:c r="E1244" s="26" t="n">
        <x:v>14471.73</x:v>
      </x:c>
      <x:c r="F1244" t="n">
        <x:v>0</x:v>
      </x:c>
      <x:c r="G1244" s="25" t="n">
        <x:v>0.290146</x:v>
      </x:c>
      <x:c r="H1244" t="n">
        <x:f>IF(G1244&lt;$B$6,1,0)</x:f>
        <x:v>0</x:v>
      </x:c>
      <x:c r="I1244" s="26" t="n">
        <x:f>H1244*IF(F1244=0,E1244*$B$7,-E1244*$B$8)</x:f>
        <x:v>0</x:v>
      </x:c>
    </x:row>
    <x:row r="1245">
      <x:c r="A1245" t="n">
        <x:v>966</x:v>
      </x:c>
      <x:c r="B1245" t="str">
        <x:v>2024-10</x:v>
      </x:c>
      <x:c r="C1245" t="str">
        <x:v>Salaried</x:v>
      </x:c>
      <x:c r="D1245" t="str">
        <x:v>Group B</x:v>
      </x:c>
      <x:c r="E1245" s="26" t="n">
        <x:v>8434.87</x:v>
      </x:c>
      <x:c r="F1245" t="n">
        <x:v>0</x:v>
      </x:c>
      <x:c r="G1245" s="25" t="n">
        <x:v>0.019434</x:v>
      </x:c>
      <x:c r="H1245" t="n">
        <x:f>IF(G1245&lt;$B$6,1,0)</x:f>
        <x:v>1</x:v>
      </x:c>
      <x:c r="I1245" s="26" t="n">
        <x:f>H1245*IF(F1245=0,E1245*$B$7,-E1245*$B$8)</x:f>
        <x:v>1012.1844000000001</x:v>
      </x:c>
    </x:row>
    <x:row r="1246">
      <x:c r="A1246" t="n">
        <x:v>978</x:v>
      </x:c>
      <x:c r="B1246" t="str">
        <x:v>2024-10</x:v>
      </x:c>
      <x:c r="C1246" t="str">
        <x:v>Salaried</x:v>
      </x:c>
      <x:c r="D1246" t="str">
        <x:v>Group B</x:v>
      </x:c>
      <x:c r="E1246" s="26" t="n">
        <x:v>19711.15</x:v>
      </x:c>
      <x:c r="F1246" t="n">
        <x:v>1</x:v>
      </x:c>
      <x:c r="G1246" s="25" t="n">
        <x:v>0.80543</x:v>
      </x:c>
      <x:c r="H1246" t="n">
        <x:f>IF(G1246&lt;$B$6,1,0)</x:f>
        <x:v>0</x:v>
      </x:c>
      <x:c r="I1246" s="26" t="n">
        <x:f>H1246*IF(F1246=0,E1246*$B$7,-E1246*$B$8)</x:f>
        <x:v>0</x:v>
      </x:c>
    </x:row>
    <x:row r="1247">
      <x:c r="A1247" t="n">
        <x:v>991</x:v>
      </x:c>
      <x:c r="B1247" t="str">
        <x:v>2024-10</x:v>
      </x:c>
      <x:c r="C1247" t="str">
        <x:v>Salaried</x:v>
      </x:c>
      <x:c r="D1247" t="str">
        <x:v>Group B</x:v>
      </x:c>
      <x:c r="E1247" s="26" t="n">
        <x:v>11255.28</x:v>
      </x:c>
      <x:c r="F1247" t="n">
        <x:v>0</x:v>
      </x:c>
      <x:c r="G1247" s="25" t="n">
        <x:v>0.147401</x:v>
      </x:c>
      <x:c r="H1247" t="n">
        <x:f>IF(G1247&lt;$B$6,1,0)</x:f>
        <x:v>1</x:v>
      </x:c>
      <x:c r="I1247" s="26" t="n">
        <x:f>H1247*IF(F1247=0,E1247*$B$7,-E1247*$B$8)</x:f>
        <x:v>1350.6336000000001</x:v>
      </x:c>
    </x:row>
    <x:row r="1248">
      <x:c r="A1248" t="n">
        <x:v>994</x:v>
      </x:c>
      <x:c r="B1248" t="str">
        <x:v>2024-10</x:v>
      </x:c>
      <x:c r="C1248" t="str">
        <x:v>Salaried</x:v>
      </x:c>
      <x:c r="D1248" t="str">
        <x:v>Group A</x:v>
      </x:c>
      <x:c r="E1248" s="26" t="n">
        <x:v>11120.34</x:v>
      </x:c>
      <x:c r="F1248" t="n">
        <x:v>0</x:v>
      </x:c>
      <x:c r="G1248" s="25" t="n">
        <x:v>0.158536</x:v>
      </x:c>
      <x:c r="H1248" t="n">
        <x:f>IF(G1248&lt;$B$6,1,0)</x:f>
        <x:v>1</x:v>
      </x:c>
      <x:c r="I1248" s="26" t="n">
        <x:f>H1248*IF(F1248=0,E1248*$B$7,-E1248*$B$8)</x:f>
        <x:v>1334.4408</x:v>
      </x:c>
    </x:row>
    <x:row r="1249">
      <x:c r="A1249" t="n">
        <x:v>1001</x:v>
      </x:c>
      <x:c r="B1249" t="str">
        <x:v>2024-10</x:v>
      </x:c>
      <x:c r="C1249" t="str">
        <x:v>Salaried</x:v>
      </x:c>
      <x:c r="D1249" t="str">
        <x:v>Group B</x:v>
      </x:c>
      <x:c r="E1249" s="26" t="n">
        <x:v>14827.04</x:v>
      </x:c>
      <x:c r="F1249" t="n">
        <x:v>0</x:v>
      </x:c>
      <x:c r="G1249" s="25" t="n">
        <x:v>0.320773</x:v>
      </x:c>
      <x:c r="H1249" t="n">
        <x:f>IF(G1249&lt;$B$6,1,0)</x:f>
        <x:v>0</x:v>
      </x:c>
      <x:c r="I1249" s="26" t="n">
        <x:f>H1249*IF(F1249=0,E1249*$B$7,-E1249*$B$8)</x:f>
        <x:v>0</x:v>
      </x:c>
    </x:row>
    <x:row r="1250">
      <x:c r="A1250" t="n">
        <x:v>1046</x:v>
      </x:c>
      <x:c r="B1250" t="str">
        <x:v>2024-10</x:v>
      </x:c>
      <x:c r="C1250" t="str">
        <x:v>Self employed</x:v>
      </x:c>
      <x:c r="D1250" t="str">
        <x:v>Group B</x:v>
      </x:c>
      <x:c r="E1250" s="26" t="n">
        <x:v>9977.3</x:v>
      </x:c>
      <x:c r="F1250" t="n">
        <x:v>0</x:v>
      </x:c>
      <x:c r="G1250" s="25" t="n">
        <x:v>0.094285</x:v>
      </x:c>
      <x:c r="H1250" t="n">
        <x:f>IF(G1250&lt;$B$6,1,0)</x:f>
        <x:v>1</x:v>
      </x:c>
      <x:c r="I1250" s="26" t="n">
        <x:f>H1250*IF(F1250=0,E1250*$B$7,-E1250*$B$8)</x:f>
        <x:v>1197.2759999999998</x:v>
      </x:c>
    </x:row>
    <x:row r="1251">
      <x:c r="A1251" t="n">
        <x:v>1060</x:v>
      </x:c>
      <x:c r="B1251" t="str">
        <x:v>2024-10</x:v>
      </x:c>
      <x:c r="C1251" t="str">
        <x:v>Self employed</x:v>
      </x:c>
      <x:c r="D1251" t="str">
        <x:v>Group B</x:v>
      </x:c>
      <x:c r="E1251" s="26" t="n">
        <x:v>6905.35</x:v>
      </x:c>
      <x:c r="F1251" t="n">
        <x:v>0</x:v>
      </x:c>
      <x:c r="G1251" s="25" t="n">
        <x:v>0.142424</x:v>
      </x:c>
      <x:c r="H1251" t="n">
        <x:f>IF(G1251&lt;$B$6,1,0)</x:f>
        <x:v>1</x:v>
      </x:c>
      <x:c r="I1251" s="26" t="n">
        <x:f>H1251*IF(F1251=0,E1251*$B$7,-E1251*$B$8)</x:f>
        <x:v>828.642</x:v>
      </x:c>
    </x:row>
    <x:row r="1252">
      <x:c r="A1252" t="n">
        <x:v>1066</x:v>
      </x:c>
      <x:c r="B1252" t="str">
        <x:v>2024-10</x:v>
      </x:c>
      <x:c r="C1252" t="str">
        <x:v>Salaried</x:v>
      </x:c>
      <x:c r="D1252" t="str">
        <x:v>Group A</x:v>
      </x:c>
      <x:c r="E1252" s="26" t="n">
        <x:v>5540.82</x:v>
      </x:c>
      <x:c r="F1252" t="n">
        <x:v>1</x:v>
      </x:c>
      <x:c r="G1252" s="25" t="n">
        <x:v>0.264405</x:v>
      </x:c>
      <x:c r="H1252" t="n">
        <x:f>IF(G1252&lt;$B$6,1,0)</x:f>
        <x:v>0</x:v>
      </x:c>
      <x:c r="I1252" s="26" t="n">
        <x:f>H1252*IF(F1252=0,E1252*$B$7,-E1252*$B$8)</x:f>
        <x:v>0</x:v>
      </x:c>
    </x:row>
    <x:row r="1253">
      <x:c r="A1253" t="n">
        <x:v>1075</x:v>
      </x:c>
      <x:c r="B1253" t="str">
        <x:v>2024-10</x:v>
      </x:c>
      <x:c r="C1253" t="str">
        <x:v>Salaried</x:v>
      </x:c>
      <x:c r="D1253" t="str">
        <x:v>Group B</x:v>
      </x:c>
      <x:c r="E1253" s="26" t="n">
        <x:v>3732.76</x:v>
      </x:c>
      <x:c r="F1253" t="n">
        <x:v>0</x:v>
      </x:c>
      <x:c r="G1253" s="25" t="n">
        <x:v>0.103713</x:v>
      </x:c>
      <x:c r="H1253" t="n">
        <x:f>IF(G1253&lt;$B$6,1,0)</x:f>
        <x:v>1</x:v>
      </x:c>
      <x:c r="I1253" s="26" t="n">
        <x:f>H1253*IF(F1253=0,E1253*$B$7,-E1253*$B$8)</x:f>
        <x:v>447.9312</x:v>
      </x:c>
    </x:row>
    <x:row r="1254">
      <x:c r="A1254" t="n">
        <x:v>1077</x:v>
      </x:c>
      <x:c r="B1254" t="str">
        <x:v>2024-10</x:v>
      </x:c>
      <x:c r="C1254" t="str">
        <x:v>Salaried</x:v>
      </x:c>
      <x:c r="D1254" t="str">
        <x:v>Group B</x:v>
      </x:c>
      <x:c r="E1254" s="26" t="n">
        <x:v>25732.59</x:v>
      </x:c>
      <x:c r="F1254" t="n">
        <x:v>0</x:v>
      </x:c>
      <x:c r="G1254" s="25" t="n">
        <x:v>0.24173</x:v>
      </x:c>
      <x:c r="H1254" t="n">
        <x:f>IF(G1254&lt;$B$6,1,0)</x:f>
        <x:v>0</x:v>
      </x:c>
      <x:c r="I1254" s="26" t="n">
        <x:f>H1254*IF(F1254=0,E1254*$B$7,-E1254*$B$8)</x:f>
        <x:v>0</x:v>
      </x:c>
    </x:row>
    <x:row r="1255">
      <x:c r="A1255" t="n">
        <x:v>1109</x:v>
      </x:c>
      <x:c r="B1255" t="str">
        <x:v>2024-10</x:v>
      </x:c>
      <x:c r="C1255" t="str">
        <x:v>Salaried</x:v>
      </x:c>
      <x:c r="D1255" t="str">
        <x:v>Group A</x:v>
      </x:c>
      <x:c r="E1255" s="26" t="n">
        <x:v>9097.18</x:v>
      </x:c>
      <x:c r="F1255" t="n">
        <x:v>0</x:v>
      </x:c>
      <x:c r="G1255" s="25" t="n">
        <x:v>0.386261</x:v>
      </x:c>
      <x:c r="H1255" t="n">
        <x:f>IF(G1255&lt;$B$6,1,0)</x:f>
        <x:v>0</x:v>
      </x:c>
      <x:c r="I1255" s="26" t="n">
        <x:f>H1255*IF(F1255=0,E1255*$B$7,-E1255*$B$8)</x:f>
        <x:v>0</x:v>
      </x:c>
    </x:row>
    <x:row r="1256">
      <x:c r="A1256" t="n">
        <x:v>1132</x:v>
      </x:c>
      <x:c r="B1256" t="str">
        <x:v>2024-10</x:v>
      </x:c>
      <x:c r="C1256" t="str">
        <x:v>Contract</x:v>
      </x:c>
      <x:c r="D1256" t="str">
        <x:v>Group A</x:v>
      </x:c>
      <x:c r="E1256" s="26" t="n">
        <x:v>16214.98</x:v>
      </x:c>
      <x:c r="F1256" t="n">
        <x:v>0</x:v>
      </x:c>
      <x:c r="G1256" s="25" t="n">
        <x:v>0.414913</x:v>
      </x:c>
      <x:c r="H1256" t="n">
        <x:f>IF(G1256&lt;$B$6,1,0)</x:f>
        <x:v>0</x:v>
      </x:c>
      <x:c r="I1256" s="26" t="n">
        <x:f>H1256*IF(F1256=0,E1256*$B$7,-E1256*$B$8)</x:f>
        <x:v>0</x:v>
      </x:c>
    </x:row>
    <x:row r="1257">
      <x:c r="A1257" t="n">
        <x:v>1201</x:v>
      </x:c>
      <x:c r="B1257" t="str">
        <x:v>2024-10</x:v>
      </x:c>
      <x:c r="C1257" t="str">
        <x:v>Salaried</x:v>
      </x:c>
      <x:c r="D1257" t="str">
        <x:v>Group B</x:v>
      </x:c>
      <x:c r="E1257" s="26" t="n">
        <x:v>7303.87</x:v>
      </x:c>
      <x:c r="F1257" t="n">
        <x:v>1</x:v>
      </x:c>
      <x:c r="G1257" s="25" t="n">
        <x:v>0.280593</x:v>
      </x:c>
      <x:c r="H1257" t="n">
        <x:f>IF(G1257&lt;$B$6,1,0)</x:f>
        <x:v>0</x:v>
      </x:c>
      <x:c r="I1257" s="26" t="n">
        <x:f>H1257*IF(F1257=0,E1257*$B$7,-E1257*$B$8)</x:f>
        <x:v>0</x:v>
      </x:c>
    </x:row>
    <x:row r="1258">
      <x:c r="A1258" t="n">
        <x:v>1220</x:v>
      </x:c>
      <x:c r="B1258" t="str">
        <x:v>2024-10</x:v>
      </x:c>
      <x:c r="C1258" t="str">
        <x:v>Salaried</x:v>
      </x:c>
      <x:c r="D1258" t="str">
        <x:v>Group A</x:v>
      </x:c>
      <x:c r="E1258" s="26" t="n">
        <x:v>26489.39</x:v>
      </x:c>
      <x:c r="F1258" t="n">
        <x:v>1</x:v>
      </x:c>
      <x:c r="G1258" s="25" t="n">
        <x:v>0.474043</x:v>
      </x:c>
      <x:c r="H1258" t="n">
        <x:f>IF(G1258&lt;$B$6,1,0)</x:f>
        <x:v>0</x:v>
      </x:c>
      <x:c r="I1258" s="26" t="n">
        <x:f>H1258*IF(F1258=0,E1258*$B$7,-E1258*$B$8)</x:f>
        <x:v>0</x:v>
      </x:c>
    </x:row>
    <x:row r="1259">
      <x:c r="A1259" t="n">
        <x:v>1222</x:v>
      </x:c>
      <x:c r="B1259" t="str">
        <x:v>2024-10</x:v>
      </x:c>
      <x:c r="C1259" t="str">
        <x:v>Salaried</x:v>
      </x:c>
      <x:c r="D1259" t="str">
        <x:v>Group A</x:v>
      </x:c>
      <x:c r="E1259" s="26" t="n">
        <x:v>15127.82</x:v>
      </x:c>
      <x:c r="F1259" t="n">
        <x:v>0</x:v>
      </x:c>
      <x:c r="G1259" s="25" t="n">
        <x:v>0.286269</x:v>
      </x:c>
      <x:c r="H1259" t="n">
        <x:f>IF(G1259&lt;$B$6,1,0)</x:f>
        <x:v>0</x:v>
      </x:c>
      <x:c r="I1259" s="26" t="n">
        <x:f>H1259*IF(F1259=0,E1259*$B$7,-E1259*$B$8)</x:f>
        <x:v>0</x:v>
      </x:c>
    </x:row>
    <x:row r="1260">
      <x:c r="A1260" t="n">
        <x:v>1254</x:v>
      </x:c>
      <x:c r="B1260" t="str">
        <x:v>2024-10</x:v>
      </x:c>
      <x:c r="C1260" t="str">
        <x:v>Salaried</x:v>
      </x:c>
      <x:c r="D1260" t="str">
        <x:v>Group B</x:v>
      </x:c>
      <x:c r="E1260" s="26" t="n">
        <x:v>11944.93</x:v>
      </x:c>
      <x:c r="F1260" t="n">
        <x:v>0</x:v>
      </x:c>
      <x:c r="G1260" s="25" t="n">
        <x:v>0.170662</x:v>
      </x:c>
      <x:c r="H1260" t="n">
        <x:f>IF(G1260&lt;$B$6,1,0)</x:f>
        <x:v>0</x:v>
      </x:c>
      <x:c r="I1260" s="26" t="n">
        <x:f>H1260*IF(F1260=0,E1260*$B$7,-E1260*$B$8)</x:f>
        <x:v>0</x:v>
      </x:c>
    </x:row>
    <x:row r="1261">
      <x:c r="A1261" t="n">
        <x:v>1255</x:v>
      </x:c>
      <x:c r="B1261" t="str">
        <x:v>2024-10</x:v>
      </x:c>
      <x:c r="C1261" t="str">
        <x:v>Salaried</x:v>
      </x:c>
      <x:c r="D1261" t="str">
        <x:v>Group A</x:v>
      </x:c>
      <x:c r="E1261" s="26" t="n">
        <x:v>7318.45</x:v>
      </x:c>
      <x:c r="F1261" t="n">
        <x:v>1</x:v>
      </x:c>
      <x:c r="G1261" s="25" t="n">
        <x:v>0.320713</x:v>
      </x:c>
      <x:c r="H1261" t="n">
        <x:f>IF(G1261&lt;$B$6,1,0)</x:f>
        <x:v>0</x:v>
      </x:c>
      <x:c r="I1261" s="26" t="n">
        <x:f>H1261*IF(F1261=0,E1261*$B$7,-E1261*$B$8)</x:f>
        <x:v>0</x:v>
      </x:c>
    </x:row>
    <x:row r="1262">
      <x:c r="A1262" t="n">
        <x:v>1272</x:v>
      </x:c>
      <x:c r="B1262" t="str">
        <x:v>2024-10</x:v>
      </x:c>
      <x:c r="C1262" t="str">
        <x:v>Contract</x:v>
      </x:c>
      <x:c r="D1262" t="str">
        <x:v>Group B</x:v>
      </x:c>
      <x:c r="E1262" s="26" t="n">
        <x:v>7248.2</x:v>
      </x:c>
      <x:c r="F1262" t="n">
        <x:v>1</x:v>
      </x:c>
      <x:c r="G1262" s="25" t="n">
        <x:v>0.356369</x:v>
      </x:c>
      <x:c r="H1262" t="n">
        <x:f>IF(G1262&lt;$B$6,1,0)</x:f>
        <x:v>0</x:v>
      </x:c>
      <x:c r="I1262" s="26" t="n">
        <x:f>H1262*IF(F1262=0,E1262*$B$7,-E1262*$B$8)</x:f>
        <x:v>0</x:v>
      </x:c>
    </x:row>
    <x:row r="1263">
      <x:c r="A1263" t="n">
        <x:v>1286</x:v>
      </x:c>
      <x:c r="B1263" t="str">
        <x:v>2024-10</x:v>
      </x:c>
      <x:c r="C1263" t="str">
        <x:v>Contract</x:v>
      </x:c>
      <x:c r="D1263" t="str">
        <x:v>Group A</x:v>
      </x:c>
      <x:c r="E1263" s="26" t="n">
        <x:v>28288.5</x:v>
      </x:c>
      <x:c r="F1263" t="n">
        <x:v>0</x:v>
      </x:c>
      <x:c r="G1263" s="25" t="n">
        <x:v>0.373567</x:v>
      </x:c>
      <x:c r="H1263" t="n">
        <x:f>IF(G1263&lt;$B$6,1,0)</x:f>
        <x:v>0</x:v>
      </x:c>
      <x:c r="I1263" s="26" t="n">
        <x:f>H1263*IF(F1263=0,E1263*$B$7,-E1263*$B$8)</x:f>
        <x:v>0</x:v>
      </x:c>
    </x:row>
    <x:row r="1264">
      <x:c r="A1264" t="n">
        <x:v>1333</x:v>
      </x:c>
      <x:c r="B1264" t="str">
        <x:v>2024-10</x:v>
      </x:c>
      <x:c r="C1264" t="str">
        <x:v>Self employed</x:v>
      </x:c>
      <x:c r="D1264" t="str">
        <x:v>Group A</x:v>
      </x:c>
      <x:c r="E1264" s="26" t="n">
        <x:v>22869.63</x:v>
      </x:c>
      <x:c r="F1264" t="n">
        <x:v>0</x:v>
      </x:c>
      <x:c r="G1264" s="25" t="n">
        <x:v>0.073058</x:v>
      </x:c>
      <x:c r="H1264" t="n">
        <x:f>IF(G1264&lt;$B$6,1,0)</x:f>
        <x:v>1</x:v>
      </x:c>
      <x:c r="I1264" s="26" t="n">
        <x:f>H1264*IF(F1264=0,E1264*$B$7,-E1264*$B$8)</x:f>
        <x:v>2744.3556</x:v>
      </x:c>
    </x:row>
    <x:row r="1265">
      <x:c r="A1265" t="n">
        <x:v>1379</x:v>
      </x:c>
      <x:c r="B1265" t="str">
        <x:v>2024-10</x:v>
      </x:c>
      <x:c r="C1265" t="str">
        <x:v>Self employed</x:v>
      </x:c>
      <x:c r="D1265" t="str">
        <x:v>Group B</x:v>
      </x:c>
      <x:c r="E1265" s="26" t="n">
        <x:v>4888.19</x:v>
      </x:c>
      <x:c r="F1265" t="n">
        <x:v>0</x:v>
      </x:c>
      <x:c r="G1265" s="25" t="n">
        <x:v>0.041352</x:v>
      </x:c>
      <x:c r="H1265" t="n">
        <x:f>IF(G1265&lt;$B$6,1,0)</x:f>
        <x:v>1</x:v>
      </x:c>
      <x:c r="I1265" s="26" t="n">
        <x:f>H1265*IF(F1265=0,E1265*$B$7,-E1265*$B$8)</x:f>
        <x:v>586.5827999999999</x:v>
      </x:c>
    </x:row>
    <x:row r="1266">
      <x:c r="A1266" t="n">
        <x:v>1388</x:v>
      </x:c>
      <x:c r="B1266" t="str">
        <x:v>2024-10</x:v>
      </x:c>
      <x:c r="C1266" t="str">
        <x:v>Salaried</x:v>
      </x:c>
      <x:c r="D1266" t="str">
        <x:v>Group A</x:v>
      </x:c>
      <x:c r="E1266" s="26" t="n">
        <x:v>7849.2</x:v>
      </x:c>
      <x:c r="F1266" t="n">
        <x:v>1</x:v>
      </x:c>
      <x:c r="G1266" s="25" t="n">
        <x:v>0.144842</x:v>
      </x:c>
      <x:c r="H1266" t="n">
        <x:f>IF(G1266&lt;$B$6,1,0)</x:f>
        <x:v>1</x:v>
      </x:c>
      <x:c r="I1266" s="26" t="n">
        <x:f>H1266*IF(F1266=0,E1266*$B$7,-E1266*$B$8)</x:f>
        <x:v>-5101.9800000000005</x:v>
      </x:c>
    </x:row>
    <x:row r="1267">
      <x:c r="A1267" t="n">
        <x:v>1429</x:v>
      </x:c>
      <x:c r="B1267" t="str">
        <x:v>2024-10</x:v>
      </x:c>
      <x:c r="C1267" t="str">
        <x:v>Contract</x:v>
      </x:c>
      <x:c r="D1267" t="str">
        <x:v>Group B</x:v>
      </x:c>
      <x:c r="E1267" s="26" t="n">
        <x:v>4797.12</x:v>
      </x:c>
      <x:c r="F1267" t="n">
        <x:v>1</x:v>
      </x:c>
      <x:c r="G1267" s="25" t="n">
        <x:v>0.18711</x:v>
      </x:c>
      <x:c r="H1267" t="n">
        <x:f>IF(G1267&lt;$B$6,1,0)</x:f>
        <x:v>0</x:v>
      </x:c>
      <x:c r="I1267" s="26" t="n">
        <x:f>H1267*IF(F1267=0,E1267*$B$7,-E1267*$B$8)</x:f>
        <x:v>0</x:v>
      </x:c>
    </x:row>
    <x:row r="1268">
      <x:c r="A1268" t="n">
        <x:v>1431</x:v>
      </x:c>
      <x:c r="B1268" t="str">
        <x:v>2024-10</x:v>
      </x:c>
      <x:c r="C1268" t="str">
        <x:v>Salaried</x:v>
      </x:c>
      <x:c r="D1268" t="str">
        <x:v>Group B</x:v>
      </x:c>
      <x:c r="E1268" s="26" t="n">
        <x:v>17403.69</x:v>
      </x:c>
      <x:c r="F1268" t="n">
        <x:v>1</x:v>
      </x:c>
      <x:c r="G1268" s="25" t="n">
        <x:v>0.156352</x:v>
      </x:c>
      <x:c r="H1268" t="n">
        <x:f>IF(G1268&lt;$B$6,1,0)</x:f>
        <x:v>1</x:v>
      </x:c>
      <x:c r="I1268" s="26" t="n">
        <x:f>H1268*IF(F1268=0,E1268*$B$7,-E1268*$B$8)</x:f>
        <x:v>-11312.3985</x:v>
      </x:c>
    </x:row>
    <x:row r="1269">
      <x:c r="A1269" t="n">
        <x:v>1444</x:v>
      </x:c>
      <x:c r="B1269" t="str">
        <x:v>2024-10</x:v>
      </x:c>
      <x:c r="C1269" t="str">
        <x:v>Self employed</x:v>
      </x:c>
      <x:c r="D1269" t="str">
        <x:v>Group A</x:v>
      </x:c>
      <x:c r="E1269" s="26" t="n">
        <x:v>7528.36</x:v>
      </x:c>
      <x:c r="F1269" t="n">
        <x:v>0</x:v>
      </x:c>
      <x:c r="G1269" s="25" t="n">
        <x:v>0.264809</x:v>
      </x:c>
      <x:c r="H1269" t="n">
        <x:f>IF(G1269&lt;$B$6,1,0)</x:f>
        <x:v>0</x:v>
      </x:c>
      <x:c r="I1269" s="26" t="n">
        <x:f>H1269*IF(F1269=0,E1269*$B$7,-E1269*$B$8)</x:f>
        <x:v>0</x:v>
      </x:c>
    </x:row>
    <x:row r="1270">
      <x:c r="A1270" t="n">
        <x:v>1486</x:v>
      </x:c>
      <x:c r="B1270" t="str">
        <x:v>2024-10</x:v>
      </x:c>
      <x:c r="C1270" t="str">
        <x:v>Self employed</x:v>
      </x:c>
      <x:c r="D1270" t="str">
        <x:v>Group A</x:v>
      </x:c>
      <x:c r="E1270" s="26" t="n">
        <x:v>5181.18</x:v>
      </x:c>
      <x:c r="F1270" t="n">
        <x:v>0</x:v>
      </x:c>
      <x:c r="G1270" s="25" t="n">
        <x:v>0.183027</x:v>
      </x:c>
      <x:c r="H1270" t="n">
        <x:f>IF(G1270&lt;$B$6,1,0)</x:f>
        <x:v>0</x:v>
      </x:c>
      <x:c r="I1270" s="26" t="n">
        <x:f>H1270*IF(F1270=0,E1270*$B$7,-E1270*$B$8)</x:f>
        <x:v>0</x:v>
      </x:c>
    </x:row>
    <x:row r="1271">
      <x:c r="A1271" t="n">
        <x:v>1502</x:v>
      </x:c>
      <x:c r="B1271" t="str">
        <x:v>2024-10</x:v>
      </x:c>
      <x:c r="C1271" t="str">
        <x:v>Salaried</x:v>
      </x:c>
      <x:c r="D1271" t="str">
        <x:v>Group B</x:v>
      </x:c>
      <x:c r="E1271" s="26" t="n">
        <x:v>12557.68</x:v>
      </x:c>
      <x:c r="F1271" t="n">
        <x:v>0</x:v>
      </x:c>
      <x:c r="G1271" s="25" t="n">
        <x:v>0.042999</x:v>
      </x:c>
      <x:c r="H1271" t="n">
        <x:f>IF(G1271&lt;$B$6,1,0)</x:f>
        <x:v>1</x:v>
      </x:c>
      <x:c r="I1271" s="26" t="n">
        <x:f>H1271*IF(F1271=0,E1271*$B$7,-E1271*$B$8)</x:f>
        <x:v>1506.9216</x:v>
      </x:c>
    </x:row>
    <x:row r="1272">
      <x:c r="A1272" t="n">
        <x:v>1514</x:v>
      </x:c>
      <x:c r="B1272" t="str">
        <x:v>2024-10</x:v>
      </x:c>
      <x:c r="C1272" t="str">
        <x:v>Self employed</x:v>
      </x:c>
      <x:c r="D1272" t="str">
        <x:v>Group A</x:v>
      </x:c>
      <x:c r="E1272" s="26" t="n">
        <x:v>11553.77</x:v>
      </x:c>
      <x:c r="F1272" t="n">
        <x:v>0</x:v>
      </x:c>
      <x:c r="G1272" s="25" t="n">
        <x:v>0.425621</x:v>
      </x:c>
      <x:c r="H1272" t="n">
        <x:f>IF(G1272&lt;$B$6,1,0)</x:f>
        <x:v>0</x:v>
      </x:c>
      <x:c r="I1272" s="26" t="n">
        <x:f>H1272*IF(F1272=0,E1272*$B$7,-E1272*$B$8)</x:f>
        <x:v>0</x:v>
      </x:c>
    </x:row>
    <x:row r="1273">
      <x:c r="A1273" t="n">
        <x:v>1530</x:v>
      </x:c>
      <x:c r="B1273" t="str">
        <x:v>2024-10</x:v>
      </x:c>
      <x:c r="C1273" t="str">
        <x:v>Salaried</x:v>
      </x:c>
      <x:c r="D1273" t="str">
        <x:v>Group A</x:v>
      </x:c>
      <x:c r="E1273" s="26" t="n">
        <x:v>25182.22</x:v>
      </x:c>
      <x:c r="F1273" t="n">
        <x:v>0</x:v>
      </x:c>
      <x:c r="G1273" s="25" t="n">
        <x:v>0.022998</x:v>
      </x:c>
      <x:c r="H1273" t="n">
        <x:f>IF(G1273&lt;$B$6,1,0)</x:f>
        <x:v>1</x:v>
      </x:c>
      <x:c r="I1273" s="26" t="n">
        <x:f>H1273*IF(F1273=0,E1273*$B$7,-E1273*$B$8)</x:f>
        <x:v>3021.8664</x:v>
      </x:c>
    </x:row>
    <x:row r="1274">
      <x:c r="A1274" t="n">
        <x:v>1543</x:v>
      </x:c>
      <x:c r="B1274" t="str">
        <x:v>2024-10</x:v>
      </x:c>
      <x:c r="C1274" t="str">
        <x:v>Salaried</x:v>
      </x:c>
      <x:c r="D1274" t="str">
        <x:v>Group A</x:v>
      </x:c>
      <x:c r="E1274" s="26" t="n">
        <x:v>4493.3</x:v>
      </x:c>
      <x:c r="F1274" t="n">
        <x:v>0</x:v>
      </x:c>
      <x:c r="G1274" s="25" t="n">
        <x:v>0.371409</x:v>
      </x:c>
      <x:c r="H1274" t="n">
        <x:f>IF(G1274&lt;$B$6,1,0)</x:f>
        <x:v>0</x:v>
      </x:c>
      <x:c r="I1274" s="26" t="n">
        <x:f>H1274*IF(F1274=0,E1274*$B$7,-E1274*$B$8)</x:f>
        <x:v>0</x:v>
      </x:c>
    </x:row>
    <x:row r="1275">
      <x:c r="A1275" t="n">
        <x:v>1628</x:v>
      </x:c>
      <x:c r="B1275" t="str">
        <x:v>2024-10</x:v>
      </x:c>
      <x:c r="C1275" t="str">
        <x:v>Salaried</x:v>
      </x:c>
      <x:c r="D1275" t="str">
        <x:v>Group B</x:v>
      </x:c>
      <x:c r="E1275" s="26" t="n">
        <x:v>25958.06</x:v>
      </x:c>
      <x:c r="F1275" t="n">
        <x:v>0</x:v>
      </x:c>
      <x:c r="G1275" s="25" t="n">
        <x:v>0.064051</x:v>
      </x:c>
      <x:c r="H1275" t="n">
        <x:f>IF(G1275&lt;$B$6,1,0)</x:f>
        <x:v>1</x:v>
      </x:c>
      <x:c r="I1275" s="26" t="n">
        <x:f>H1275*IF(F1275=0,E1275*$B$7,-E1275*$B$8)</x:f>
        <x:v>3114.9672</x:v>
      </x:c>
    </x:row>
    <x:row r="1276">
      <x:c r="A1276" t="n">
        <x:v>1632</x:v>
      </x:c>
      <x:c r="B1276" t="str">
        <x:v>2024-10</x:v>
      </x:c>
      <x:c r="C1276" t="str">
        <x:v>Salaried</x:v>
      </x:c>
      <x:c r="D1276" t="str">
        <x:v>Group B</x:v>
      </x:c>
      <x:c r="E1276" s="26" t="n">
        <x:v>16466.31</x:v>
      </x:c>
      <x:c r="F1276" t="n">
        <x:v>0</x:v>
      </x:c>
      <x:c r="G1276" s="25" t="n">
        <x:v>0.050409</x:v>
      </x:c>
      <x:c r="H1276" t="n">
        <x:f>IF(G1276&lt;$B$6,1,0)</x:f>
        <x:v>1</x:v>
      </x:c>
      <x:c r="I1276" s="26" t="n">
        <x:f>H1276*IF(F1276=0,E1276*$B$7,-E1276*$B$8)</x:f>
        <x:v>1975.9572</x:v>
      </x:c>
    </x:row>
    <x:row r="1277">
      <x:c r="A1277" t="n">
        <x:v>1660</x:v>
      </x:c>
      <x:c r="B1277" t="str">
        <x:v>2024-10</x:v>
      </x:c>
      <x:c r="C1277" t="str">
        <x:v>Self employed</x:v>
      </x:c>
      <x:c r="D1277" t="str">
        <x:v>Group B</x:v>
      </x:c>
      <x:c r="E1277" s="26" t="n">
        <x:v>30208.43</x:v>
      </x:c>
      <x:c r="F1277" t="n">
        <x:v>0</x:v>
      </x:c>
      <x:c r="G1277" s="25" t="n">
        <x:v>0.104816</x:v>
      </x:c>
      <x:c r="H1277" t="n">
        <x:f>IF(G1277&lt;$B$6,1,0)</x:f>
        <x:v>1</x:v>
      </x:c>
      <x:c r="I1277" s="26" t="n">
        <x:f>H1277*IF(F1277=0,E1277*$B$7,-E1277*$B$8)</x:f>
        <x:v>3625.0116</x:v>
      </x:c>
    </x:row>
    <x:row r="1278">
      <x:c r="A1278" t="n">
        <x:v>1683</x:v>
      </x:c>
      <x:c r="B1278" t="str">
        <x:v>2024-10</x:v>
      </x:c>
      <x:c r="C1278" t="str">
        <x:v>Contract</x:v>
      </x:c>
      <x:c r="D1278" t="str">
        <x:v>Group A</x:v>
      </x:c>
      <x:c r="E1278" s="26" t="n">
        <x:v>5173.19</x:v>
      </x:c>
      <x:c r="F1278" t="n">
        <x:v>1</x:v>
      </x:c>
      <x:c r="G1278" s="25" t="n">
        <x:v>0.400908</x:v>
      </x:c>
      <x:c r="H1278" t="n">
        <x:f>IF(G1278&lt;$B$6,1,0)</x:f>
        <x:v>0</x:v>
      </x:c>
      <x:c r="I1278" s="26" t="n">
        <x:f>H1278*IF(F1278=0,E1278*$B$7,-E1278*$B$8)</x:f>
        <x:v>0</x:v>
      </x:c>
    </x:row>
    <x:row r="1279">
      <x:c r="A1279" t="n">
        <x:v>1718</x:v>
      </x:c>
      <x:c r="B1279" t="str">
        <x:v>2024-10</x:v>
      </x:c>
      <x:c r="C1279" t="str">
        <x:v>Self employed</x:v>
      </x:c>
      <x:c r="D1279" t="str">
        <x:v>Group A</x:v>
      </x:c>
      <x:c r="E1279" s="26" t="n">
        <x:v>6218.47</x:v>
      </x:c>
      <x:c r="F1279" t="n">
        <x:v>0</x:v>
      </x:c>
      <x:c r="G1279" s="25" t="n">
        <x:v>0.623267</x:v>
      </x:c>
      <x:c r="H1279" t="n">
        <x:f>IF(G1279&lt;$B$6,1,0)</x:f>
        <x:v>0</x:v>
      </x:c>
      <x:c r="I1279" s="26" t="n">
        <x:f>H1279*IF(F1279=0,E1279*$B$7,-E1279*$B$8)</x:f>
        <x:v>0</x:v>
      </x:c>
    </x:row>
    <x:row r="1280">
      <x:c r="A1280" t="n">
        <x:v>1787</x:v>
      </x:c>
      <x:c r="B1280" t="str">
        <x:v>2024-10</x:v>
      </x:c>
      <x:c r="C1280" t="str">
        <x:v>Contract</x:v>
      </x:c>
      <x:c r="D1280" t="str">
        <x:v>Group A</x:v>
      </x:c>
      <x:c r="E1280" s="26" t="n">
        <x:v>6963.31</x:v>
      </x:c>
      <x:c r="F1280" t="n">
        <x:v>0</x:v>
      </x:c>
      <x:c r="G1280" s="25" t="n">
        <x:v>0.149953</x:v>
      </x:c>
      <x:c r="H1280" t="n">
        <x:f>IF(G1280&lt;$B$6,1,0)</x:f>
        <x:v>1</x:v>
      </x:c>
      <x:c r="I1280" s="26" t="n">
        <x:f>H1280*IF(F1280=0,E1280*$B$7,-E1280*$B$8)</x:f>
        <x:v>835.5972</x:v>
      </x:c>
    </x:row>
    <x:row r="1281">
      <x:c r="A1281" t="n">
        <x:v>1793</x:v>
      </x:c>
      <x:c r="B1281" t="str">
        <x:v>2024-10</x:v>
      </x:c>
      <x:c r="C1281" t="str">
        <x:v>Salaried</x:v>
      </x:c>
      <x:c r="D1281" t="str">
        <x:v>Group B</x:v>
      </x:c>
      <x:c r="E1281" s="26" t="n">
        <x:v>14950.15</x:v>
      </x:c>
      <x:c r="F1281" t="n">
        <x:v>1</x:v>
      </x:c>
      <x:c r="G1281" s="25" t="n">
        <x:v>0.082236</x:v>
      </x:c>
      <x:c r="H1281" t="n">
        <x:f>IF(G1281&lt;$B$6,1,0)</x:f>
        <x:v>1</x:v>
      </x:c>
      <x:c r="I1281" s="26" t="n">
        <x:f>H1281*IF(F1281=0,E1281*$B$7,-E1281*$B$8)</x:f>
        <x:v>-9717.5975</x:v>
      </x:c>
    </x:row>
    <x:row r="1282">
      <x:c r="A1282" t="n">
        <x:v>1813</x:v>
      </x:c>
      <x:c r="B1282" t="str">
        <x:v>2024-10</x:v>
      </x:c>
      <x:c r="C1282" t="str">
        <x:v>Salaried</x:v>
      </x:c>
      <x:c r="D1282" t="str">
        <x:v>Group A</x:v>
      </x:c>
      <x:c r="E1282" s="26" t="n">
        <x:v>17412.08</x:v>
      </x:c>
      <x:c r="F1282" t="n">
        <x:v>0</x:v>
      </x:c>
      <x:c r="G1282" s="25" t="n">
        <x:v>0.191934</x:v>
      </x:c>
      <x:c r="H1282" t="n">
        <x:f>IF(G1282&lt;$B$6,1,0)</x:f>
        <x:v>0</x:v>
      </x:c>
      <x:c r="I1282" s="26" t="n">
        <x:f>H1282*IF(F1282=0,E1282*$B$7,-E1282*$B$8)</x:f>
        <x:v>0</x:v>
      </x:c>
    </x:row>
    <x:row r="1283">
      <x:c r="A1283" t="n">
        <x:v>1825</x:v>
      </x:c>
      <x:c r="B1283" t="str">
        <x:v>2024-10</x:v>
      </x:c>
      <x:c r="C1283" t="str">
        <x:v>Self employed</x:v>
      </x:c>
      <x:c r="D1283" t="str">
        <x:v>Group A</x:v>
      </x:c>
      <x:c r="E1283" s="26" t="n">
        <x:v>21440.25</x:v>
      </x:c>
      <x:c r="F1283" t="n">
        <x:v>0</x:v>
      </x:c>
      <x:c r="G1283" s="25" t="n">
        <x:v>0.128791</x:v>
      </x:c>
      <x:c r="H1283" t="n">
        <x:f>IF(G1283&lt;$B$6,1,0)</x:f>
        <x:v>1</x:v>
      </x:c>
      <x:c r="I1283" s="26" t="n">
        <x:f>H1283*IF(F1283=0,E1283*$B$7,-E1283*$B$8)</x:f>
        <x:v>2572.83</x:v>
      </x:c>
    </x:row>
    <x:row r="1284">
      <x:c r="A1284" t="n">
        <x:v>1831</x:v>
      </x:c>
      <x:c r="B1284" t="str">
        <x:v>2024-10</x:v>
      </x:c>
      <x:c r="C1284" t="str">
        <x:v>Salaried</x:v>
      </x:c>
      <x:c r="D1284" t="str">
        <x:v>Group B</x:v>
      </x:c>
      <x:c r="E1284" s="26" t="n">
        <x:v>19940.73</x:v>
      </x:c>
      <x:c r="F1284" t="n">
        <x:v>0</x:v>
      </x:c>
      <x:c r="G1284" s="25" t="n">
        <x:v>0.176934</x:v>
      </x:c>
      <x:c r="H1284" t="n">
        <x:f>IF(G1284&lt;$B$6,1,0)</x:f>
        <x:v>0</x:v>
      </x:c>
      <x:c r="I1284" s="26" t="n">
        <x:f>H1284*IF(F1284=0,E1284*$B$7,-E1284*$B$8)</x:f>
        <x:v>0</x:v>
      </x:c>
    </x:row>
    <x:row r="1285">
      <x:c r="A1285" t="n">
        <x:v>1844</x:v>
      </x:c>
      <x:c r="B1285" t="str">
        <x:v>2024-10</x:v>
      </x:c>
      <x:c r="C1285" t="str">
        <x:v>Salaried</x:v>
      </x:c>
      <x:c r="D1285" t="str">
        <x:v>Group A</x:v>
      </x:c>
      <x:c r="E1285" s="26" t="n">
        <x:v>6288.91</x:v>
      </x:c>
      <x:c r="F1285" t="n">
        <x:v>0</x:v>
      </x:c>
      <x:c r="G1285" s="25" t="n">
        <x:v>0.089867</x:v>
      </x:c>
      <x:c r="H1285" t="n">
        <x:f>IF(G1285&lt;$B$6,1,0)</x:f>
        <x:v>1</x:v>
      </x:c>
      <x:c r="I1285" s="26" t="n">
        <x:f>H1285*IF(F1285=0,E1285*$B$7,-E1285*$B$8)</x:f>
        <x:v>754.6691999999999</x:v>
      </x:c>
    </x:row>
    <x:row r="1286">
      <x:c r="A1286" t="n">
        <x:v>1862</x:v>
      </x:c>
      <x:c r="B1286" t="str">
        <x:v>2024-10</x:v>
      </x:c>
      <x:c r="C1286" t="str">
        <x:v>Salaried</x:v>
      </x:c>
      <x:c r="D1286" t="str">
        <x:v>Group B</x:v>
      </x:c>
      <x:c r="E1286" s="26" t="n">
        <x:v>5986.01</x:v>
      </x:c>
      <x:c r="F1286" t="n">
        <x:v>0</x:v>
      </x:c>
      <x:c r="G1286" s="25" t="n">
        <x:v>0.128617</x:v>
      </x:c>
      <x:c r="H1286" t="n">
        <x:f>IF(G1286&lt;$B$6,1,0)</x:f>
        <x:v>1</x:v>
      </x:c>
      <x:c r="I1286" s="26" t="n">
        <x:f>H1286*IF(F1286=0,E1286*$B$7,-E1286*$B$8)</x:f>
        <x:v>718.3212</x:v>
      </x:c>
    </x:row>
    <x:row r="1287">
      <x:c r="A1287" t="n">
        <x:v>1939</x:v>
      </x:c>
      <x:c r="B1287" t="str">
        <x:v>2024-10</x:v>
      </x:c>
      <x:c r="C1287" t="str">
        <x:v>Self employed</x:v>
      </x:c>
      <x:c r="D1287" t="str">
        <x:v>Group A</x:v>
      </x:c>
      <x:c r="E1287" s="26" t="n">
        <x:v>16662.12</x:v>
      </x:c>
      <x:c r="F1287" t="n">
        <x:v>0</x:v>
      </x:c>
      <x:c r="G1287" s="25" t="n">
        <x:v>0.190064</x:v>
      </x:c>
      <x:c r="H1287" t="n">
        <x:f>IF(G1287&lt;$B$6,1,0)</x:f>
        <x:v>0</x:v>
      </x:c>
      <x:c r="I1287" s="26" t="n">
        <x:f>H1287*IF(F1287=0,E1287*$B$7,-E1287*$B$8)</x:f>
        <x:v>0</x:v>
      </x:c>
    </x:row>
    <x:row r="1288">
      <x:c r="A1288" t="n">
        <x:v>1967</x:v>
      </x:c>
      <x:c r="B1288" t="str">
        <x:v>2024-10</x:v>
      </x:c>
      <x:c r="C1288" t="str">
        <x:v>Salaried</x:v>
      </x:c>
      <x:c r="D1288" t="str">
        <x:v>Group A</x:v>
      </x:c>
      <x:c r="E1288" s="26" t="n">
        <x:v>13028.87</x:v>
      </x:c>
      <x:c r="F1288" t="n">
        <x:v>0</x:v>
      </x:c>
      <x:c r="G1288" s="25" t="n">
        <x:v>0.304467</x:v>
      </x:c>
      <x:c r="H1288" t="n">
        <x:f>IF(G1288&lt;$B$6,1,0)</x:f>
        <x:v>0</x:v>
      </x:c>
      <x:c r="I1288" s="26" t="n">
        <x:f>H1288*IF(F1288=0,E1288*$B$7,-E1288*$B$8)</x:f>
        <x:v>0</x:v>
      </x:c>
    </x:row>
    <x:row r="1289">
      <x:c r="A1289" t="n">
        <x:v>2009</x:v>
      </x:c>
      <x:c r="B1289" t="str">
        <x:v>2024-10</x:v>
      </x:c>
      <x:c r="C1289" t="str">
        <x:v>Contract</x:v>
      </x:c>
      <x:c r="D1289" t="str">
        <x:v>Group A</x:v>
      </x:c>
      <x:c r="E1289" s="26" t="n">
        <x:v>12789.49</x:v>
      </x:c>
      <x:c r="F1289" t="n">
        <x:v>1</x:v>
      </x:c>
      <x:c r="G1289" s="25" t="n">
        <x:v>0.346714</x:v>
      </x:c>
      <x:c r="H1289" t="n">
        <x:f>IF(G1289&lt;$B$6,1,0)</x:f>
        <x:v>0</x:v>
      </x:c>
      <x:c r="I1289" s="26" t="n">
        <x:f>H1289*IF(F1289=0,E1289*$B$7,-E1289*$B$8)</x:f>
        <x:v>0</x:v>
      </x:c>
    </x:row>
    <x:row r="1290">
      <x:c r="A1290" t="n">
        <x:v>2029</x:v>
      </x:c>
      <x:c r="B1290" t="str">
        <x:v>2024-10</x:v>
      </x:c>
      <x:c r="C1290" t="str">
        <x:v>Contract</x:v>
      </x:c>
      <x:c r="D1290" t="str">
        <x:v>Group B</x:v>
      </x:c>
      <x:c r="E1290" s="26" t="n">
        <x:v>7037.08</x:v>
      </x:c>
      <x:c r="F1290" t="n">
        <x:v>0</x:v>
      </x:c>
      <x:c r="G1290" s="25" t="n">
        <x:v>0.220512</x:v>
      </x:c>
      <x:c r="H1290" t="n">
        <x:f>IF(G1290&lt;$B$6,1,0)</x:f>
        <x:v>0</x:v>
      </x:c>
      <x:c r="I1290" s="26" t="n">
        <x:f>H1290*IF(F1290=0,E1290*$B$7,-E1290*$B$8)</x:f>
        <x:v>0</x:v>
      </x:c>
    </x:row>
    <x:row r="1291">
      <x:c r="A1291" t="n">
        <x:v>2071</x:v>
      </x:c>
      <x:c r="B1291" t="str">
        <x:v>2024-10</x:v>
      </x:c>
      <x:c r="C1291" t="str">
        <x:v>Self employed</x:v>
      </x:c>
      <x:c r="D1291" t="str">
        <x:v>Group B</x:v>
      </x:c>
      <x:c r="E1291" s="26" t="n">
        <x:v>11786.98</x:v>
      </x:c>
      <x:c r="F1291" t="n">
        <x:v>0</x:v>
      </x:c>
      <x:c r="G1291" s="25" t="n">
        <x:v>0.493269</x:v>
      </x:c>
      <x:c r="H1291" t="n">
        <x:f>IF(G1291&lt;$B$6,1,0)</x:f>
        <x:v>0</x:v>
      </x:c>
      <x:c r="I1291" s="26" t="n">
        <x:f>H1291*IF(F1291=0,E1291*$B$7,-E1291*$B$8)</x:f>
        <x:v>0</x:v>
      </x:c>
    </x:row>
    <x:row r="1292">
      <x:c r="A1292" t="n">
        <x:v>2104</x:v>
      </x:c>
      <x:c r="B1292" t="str">
        <x:v>2024-10</x:v>
      </x:c>
      <x:c r="C1292" t="str">
        <x:v>Salaried</x:v>
      </x:c>
      <x:c r="D1292" t="str">
        <x:v>Group B</x:v>
      </x:c>
      <x:c r="E1292" s="26" t="n">
        <x:v>28409.09</x:v>
      </x:c>
      <x:c r="F1292" t="n">
        <x:v>1</x:v>
      </x:c>
      <x:c r="G1292" s="25" t="n">
        <x:v>0.044177</x:v>
      </x:c>
      <x:c r="H1292" t="n">
        <x:f>IF(G1292&lt;$B$6,1,0)</x:f>
        <x:v>1</x:v>
      </x:c>
      <x:c r="I1292" s="26" t="n">
        <x:f>H1292*IF(F1292=0,E1292*$B$7,-E1292*$B$8)</x:f>
        <x:v>-18465.9085</x:v>
      </x:c>
    </x:row>
    <x:row r="1293">
      <x:c r="A1293" t="n">
        <x:v>2184</x:v>
      </x:c>
      <x:c r="B1293" t="str">
        <x:v>2024-10</x:v>
      </x:c>
      <x:c r="C1293" t="str">
        <x:v>Self employed</x:v>
      </x:c>
      <x:c r="D1293" t="str">
        <x:v>Group B</x:v>
      </x:c>
      <x:c r="E1293" s="26" t="n">
        <x:v>16371.11</x:v>
      </x:c>
      <x:c r="F1293" t="n">
        <x:v>0</x:v>
      </x:c>
      <x:c r="G1293" s="25" t="n">
        <x:v>0.339798</x:v>
      </x:c>
      <x:c r="H1293" t="n">
        <x:f>IF(G1293&lt;$B$6,1,0)</x:f>
        <x:v>0</x:v>
      </x:c>
      <x:c r="I1293" s="26" t="n">
        <x:f>H1293*IF(F1293=0,E1293*$B$7,-E1293*$B$8)</x:f>
        <x:v>0</x:v>
      </x:c>
    </x:row>
    <x:row r="1294">
      <x:c r="A1294" t="n">
        <x:v>2217</x:v>
      </x:c>
      <x:c r="B1294" t="str">
        <x:v>2024-10</x:v>
      </x:c>
      <x:c r="C1294" t="str">
        <x:v>Salaried</x:v>
      </x:c>
      <x:c r="D1294" t="str">
        <x:v>Group A</x:v>
      </x:c>
      <x:c r="E1294" s="26" t="n">
        <x:v>18131.07</x:v>
      </x:c>
      <x:c r="F1294" t="n">
        <x:v>1</x:v>
      </x:c>
      <x:c r="G1294" s="25" t="n">
        <x:v>0.712507</x:v>
      </x:c>
      <x:c r="H1294" t="n">
        <x:f>IF(G1294&lt;$B$6,1,0)</x:f>
        <x:v>0</x:v>
      </x:c>
      <x:c r="I1294" s="26" t="n">
        <x:f>H1294*IF(F1294=0,E1294*$B$7,-E1294*$B$8)</x:f>
        <x:v>0</x:v>
      </x:c>
    </x:row>
    <x:row r="1295">
      <x:c r="A1295" t="n">
        <x:v>2231</x:v>
      </x:c>
      <x:c r="B1295" t="str">
        <x:v>2024-10</x:v>
      </x:c>
      <x:c r="C1295" t="str">
        <x:v>Salaried</x:v>
      </x:c>
      <x:c r="D1295" t="str">
        <x:v>Group A</x:v>
      </x:c>
      <x:c r="E1295" s="26" t="n">
        <x:v>24535.23</x:v>
      </x:c>
      <x:c r="F1295" t="n">
        <x:v>0</x:v>
      </x:c>
      <x:c r="G1295" s="25" t="n">
        <x:v>0.46231</x:v>
      </x:c>
      <x:c r="H1295" t="n">
        <x:f>IF(G1295&lt;$B$6,1,0)</x:f>
        <x:v>0</x:v>
      </x:c>
      <x:c r="I1295" s="26" t="n">
        <x:f>H1295*IF(F1295=0,E1295*$B$7,-E1295*$B$8)</x:f>
        <x:v>0</x:v>
      </x:c>
    </x:row>
    <x:row r="1296">
      <x:c r="A1296" t="n">
        <x:v>2297</x:v>
      </x:c>
      <x:c r="B1296" t="str">
        <x:v>2024-10</x:v>
      </x:c>
      <x:c r="C1296" t="str">
        <x:v>Self employed</x:v>
      </x:c>
      <x:c r="D1296" t="str">
        <x:v>Group B</x:v>
      </x:c>
      <x:c r="E1296" s="26" t="n">
        <x:v>9683.52</x:v>
      </x:c>
      <x:c r="F1296" t="n">
        <x:v>1</x:v>
      </x:c>
      <x:c r="G1296" s="25" t="n">
        <x:v>0.101894</x:v>
      </x:c>
      <x:c r="H1296" t="n">
        <x:f>IF(G1296&lt;$B$6,1,0)</x:f>
        <x:v>1</x:v>
      </x:c>
      <x:c r="I1296" s="26" t="n">
        <x:f>H1296*IF(F1296=0,E1296*$B$7,-E1296*$B$8)</x:f>
        <x:v>-6294.2880000000005</x:v>
      </x:c>
    </x:row>
    <x:row r="1297">
      <x:c r="A1297" t="n">
        <x:v>2298</x:v>
      </x:c>
      <x:c r="B1297" t="str">
        <x:v>2024-10</x:v>
      </x:c>
      <x:c r="C1297" t="str">
        <x:v>Salaried</x:v>
      </x:c>
      <x:c r="D1297" t="str">
        <x:v>Group A</x:v>
      </x:c>
      <x:c r="E1297" s="26" t="n">
        <x:v>10424.24</x:v>
      </x:c>
      <x:c r="F1297" t="n">
        <x:v>0</x:v>
      </x:c>
      <x:c r="G1297" s="25" t="n">
        <x:v>0.197622</x:v>
      </x:c>
      <x:c r="H1297" t="n">
        <x:f>IF(G1297&lt;$B$6,1,0)</x:f>
        <x:v>0</x:v>
      </x:c>
      <x:c r="I1297" s="26" t="n">
        <x:f>H1297*IF(F1297=0,E1297*$B$7,-E1297*$B$8)</x:f>
        <x:v>0</x:v>
      </x:c>
    </x:row>
    <x:row r="1298">
      <x:c r="A1298" t="n">
        <x:v>2308</x:v>
      </x:c>
      <x:c r="B1298" t="str">
        <x:v>2024-10</x:v>
      </x:c>
      <x:c r="C1298" t="str">
        <x:v>Self employed</x:v>
      </x:c>
      <x:c r="D1298" t="str">
        <x:v>Group A</x:v>
      </x:c>
      <x:c r="E1298" s="26" t="n">
        <x:v>8578.1</x:v>
      </x:c>
      <x:c r="F1298" t="n">
        <x:v>0</x:v>
      </x:c>
      <x:c r="G1298" s="25" t="n">
        <x:v>0.108857</x:v>
      </x:c>
      <x:c r="H1298" t="n">
        <x:f>IF(G1298&lt;$B$6,1,0)</x:f>
        <x:v>1</x:v>
      </x:c>
      <x:c r="I1298" s="26" t="n">
        <x:f>H1298*IF(F1298=0,E1298*$B$7,-E1298*$B$8)</x:f>
        <x:v>1029.372</x:v>
      </x:c>
    </x:row>
    <x:row r="1299">
      <x:c r="A1299" t="n">
        <x:v>2311</x:v>
      </x:c>
      <x:c r="B1299" t="str">
        <x:v>2024-10</x:v>
      </x:c>
      <x:c r="C1299" t="str">
        <x:v>Salaried</x:v>
      </x:c>
      <x:c r="D1299" t="str">
        <x:v>Group B</x:v>
      </x:c>
      <x:c r="E1299" s="26" t="n">
        <x:v>6701.88</x:v>
      </x:c>
      <x:c r="F1299" t="n">
        <x:v>0</x:v>
      </x:c>
      <x:c r="G1299" s="25" t="n">
        <x:v>0.253021</x:v>
      </x:c>
      <x:c r="H1299" t="n">
        <x:f>IF(G1299&lt;$B$6,1,0)</x:f>
        <x:v>0</x:v>
      </x:c>
      <x:c r="I1299" s="26" t="n">
        <x:f>H1299*IF(F1299=0,E1299*$B$7,-E1299*$B$8)</x:f>
        <x:v>0</x:v>
      </x:c>
    </x:row>
    <x:row r="1300">
      <x:c r="A1300" t="n">
        <x:v>2337</x:v>
      </x:c>
      <x:c r="B1300" t="str">
        <x:v>2024-10</x:v>
      </x:c>
      <x:c r="C1300" t="str">
        <x:v>Salaried</x:v>
      </x:c>
      <x:c r="D1300" t="str">
        <x:v>Group A</x:v>
      </x:c>
      <x:c r="E1300" s="26" t="n">
        <x:v>16661.94</x:v>
      </x:c>
      <x:c r="F1300" t="n">
        <x:v>0</x:v>
      </x:c>
      <x:c r="G1300" s="25" t="n">
        <x:v>0.140823</x:v>
      </x:c>
      <x:c r="H1300" t="n">
        <x:f>IF(G1300&lt;$B$6,1,0)</x:f>
        <x:v>1</x:v>
      </x:c>
      <x:c r="I1300" s="26" t="n">
        <x:f>H1300*IF(F1300=0,E1300*$B$7,-E1300*$B$8)</x:f>
        <x:v>1999.4327999999998</x:v>
      </x:c>
    </x:row>
    <x:row r="1301">
      <x:c r="A1301" t="n">
        <x:v>2341</x:v>
      </x:c>
      <x:c r="B1301" t="str">
        <x:v>2024-10</x:v>
      </x:c>
      <x:c r="C1301" t="str">
        <x:v>Contract</x:v>
      </x:c>
      <x:c r="D1301" t="str">
        <x:v>Group B</x:v>
      </x:c>
      <x:c r="E1301" s="26" t="n">
        <x:v>6385.86</x:v>
      </x:c>
      <x:c r="F1301" t="n">
        <x:v>1</x:v>
      </x:c>
      <x:c r="G1301" s="25" t="n">
        <x:v>0.32631</x:v>
      </x:c>
      <x:c r="H1301" t="n">
        <x:f>IF(G1301&lt;$B$6,1,0)</x:f>
        <x:v>0</x:v>
      </x:c>
      <x:c r="I1301" s="26" t="n">
        <x:f>H1301*IF(F1301=0,E1301*$B$7,-E1301*$B$8)</x:f>
        <x:v>0</x:v>
      </x:c>
    </x:row>
    <x:row r="1302">
      <x:c r="A1302" t="n">
        <x:v>2367</x:v>
      </x:c>
      <x:c r="B1302" t="str">
        <x:v>2024-10</x:v>
      </x:c>
      <x:c r="C1302" t="str">
        <x:v>Self employed</x:v>
      </x:c>
      <x:c r="D1302" t="str">
        <x:v>Group A</x:v>
      </x:c>
      <x:c r="E1302" s="26" t="n">
        <x:v>15251.82</x:v>
      </x:c>
      <x:c r="F1302" t="n">
        <x:v>0</x:v>
      </x:c>
      <x:c r="G1302" s="25" t="n">
        <x:v>0.211318</x:v>
      </x:c>
      <x:c r="H1302" t="n">
        <x:f>IF(G1302&lt;$B$6,1,0)</x:f>
        <x:v>0</x:v>
      </x:c>
      <x:c r="I1302" s="26" t="n">
        <x:f>H1302*IF(F1302=0,E1302*$B$7,-E1302*$B$8)</x:f>
        <x:v>0</x:v>
      </x:c>
    </x:row>
    <x:row r="1303">
      <x:c r="A1303" t="n">
        <x:v>2400</x:v>
      </x:c>
      <x:c r="B1303" t="str">
        <x:v>2024-10</x:v>
      </x:c>
      <x:c r="C1303" t="str">
        <x:v>Self employed</x:v>
      </x:c>
      <x:c r="D1303" t="str">
        <x:v>Group B</x:v>
      </x:c>
      <x:c r="E1303" s="26" t="n">
        <x:v>11287.93</x:v>
      </x:c>
      <x:c r="F1303" t="n">
        <x:v>0</x:v>
      </x:c>
      <x:c r="G1303" s="25" t="n">
        <x:v>0.212595</x:v>
      </x:c>
      <x:c r="H1303" t="n">
        <x:f>IF(G1303&lt;$B$6,1,0)</x:f>
        <x:v>0</x:v>
      </x:c>
      <x:c r="I1303" s="26" t="n">
        <x:f>H1303*IF(F1303=0,E1303*$B$7,-E1303*$B$8)</x:f>
        <x:v>0</x:v>
      </x:c>
    </x:row>
    <x:row r="1304">
      <x:c r="A1304" t="n">
        <x:v>2413</x:v>
      </x:c>
      <x:c r="B1304" t="str">
        <x:v>2024-10</x:v>
      </x:c>
      <x:c r="C1304" t="str">
        <x:v>Salaried</x:v>
      </x:c>
      <x:c r="D1304" t="str">
        <x:v>Group B</x:v>
      </x:c>
      <x:c r="E1304" s="26" t="n">
        <x:v>12839.43</x:v>
      </x:c>
      <x:c r="F1304" t="n">
        <x:v>0</x:v>
      </x:c>
      <x:c r="G1304" s="25" t="n">
        <x:v>0.162127</x:v>
      </x:c>
      <x:c r="H1304" t="n">
        <x:f>IF(G1304&lt;$B$6,1,0)</x:f>
        <x:v>0</x:v>
      </x:c>
      <x:c r="I1304" s="26" t="n">
        <x:f>H1304*IF(F1304=0,E1304*$B$7,-E1304*$B$8)</x:f>
        <x:v>0</x:v>
      </x:c>
    </x:row>
    <x:row r="1305">
      <x:c r="A1305" t="n">
        <x:v>2426</x:v>
      </x:c>
      <x:c r="B1305" t="str">
        <x:v>2024-10</x:v>
      </x:c>
      <x:c r="C1305" t="str">
        <x:v>Salaried</x:v>
      </x:c>
      <x:c r="D1305" t="str">
        <x:v>Group B</x:v>
      </x:c>
      <x:c r="E1305" s="26" t="n">
        <x:v>11639</x:v>
      </x:c>
      <x:c r="F1305" t="n">
        <x:v>1</x:v>
      </x:c>
      <x:c r="G1305" s="25" t="n">
        <x:v>0.330165</x:v>
      </x:c>
      <x:c r="H1305" t="n">
        <x:f>IF(G1305&lt;$B$6,1,0)</x:f>
        <x:v>0</x:v>
      </x:c>
      <x:c r="I1305" s="26" t="n">
        <x:f>H1305*IF(F1305=0,E1305*$B$7,-E1305*$B$8)</x:f>
        <x:v>0</x:v>
      </x:c>
    </x:row>
    <x:row r="1306">
      <x:c r="A1306" t="n">
        <x:v>2447</x:v>
      </x:c>
      <x:c r="B1306" t="str">
        <x:v>2024-10</x:v>
      </x:c>
      <x:c r="C1306" t="str">
        <x:v>Salaried</x:v>
      </x:c>
      <x:c r="D1306" t="str">
        <x:v>Group A</x:v>
      </x:c>
      <x:c r="E1306" s="26" t="n">
        <x:v>3120.96</x:v>
      </x:c>
      <x:c r="F1306" t="n">
        <x:v>0</x:v>
      </x:c>
      <x:c r="G1306" s="25" t="n">
        <x:v>0.071329</x:v>
      </x:c>
      <x:c r="H1306" t="n">
        <x:f>IF(G1306&lt;$B$6,1,0)</x:f>
        <x:v>1</x:v>
      </x:c>
      <x:c r="I1306" s="26" t="n">
        <x:f>H1306*IF(F1306=0,E1306*$B$7,-E1306*$B$8)</x:f>
        <x:v>374.5152</x:v>
      </x:c>
    </x:row>
    <x:row r="1307">
      <x:c r="A1307" t="n">
        <x:v>2497</x:v>
      </x:c>
      <x:c r="B1307" t="str">
        <x:v>2024-10</x:v>
      </x:c>
      <x:c r="C1307" t="str">
        <x:v>Salaried</x:v>
      </x:c>
      <x:c r="D1307" t="str">
        <x:v>Group A</x:v>
      </x:c>
      <x:c r="E1307" s="26" t="n">
        <x:v>75000</x:v>
      </x:c>
      <x:c r="F1307" t="n">
        <x:v>0</x:v>
      </x:c>
      <x:c r="G1307" s="25" t="n">
        <x:v>0.181705</x:v>
      </x:c>
      <x:c r="H1307" t="n">
        <x:f>IF(G1307&lt;$B$6,1,0)</x:f>
        <x:v>0</x:v>
      </x:c>
      <x:c r="I1307" s="26" t="n">
        <x:f>H1307*IF(F1307=0,E1307*$B$7,-E1307*$B$8)</x:f>
        <x:v>0</x:v>
      </x:c>
    </x:row>
    <x:row r="1308">
      <x:c r="A1308" t="n">
        <x:v>2499</x:v>
      </x:c>
      <x:c r="B1308" t="str">
        <x:v>2024-10</x:v>
      </x:c>
      <x:c r="C1308" t="str">
        <x:v>Salaried</x:v>
      </x:c>
      <x:c r="D1308" t="str">
        <x:v>Group B</x:v>
      </x:c>
      <x:c r="E1308" s="26" t="n">
        <x:v>11700.45</x:v>
      </x:c>
      <x:c r="F1308" t="n">
        <x:v>0</x:v>
      </x:c>
      <x:c r="G1308" s="25" t="n">
        <x:v>0.026455</x:v>
      </x:c>
      <x:c r="H1308" t="n">
        <x:f>IF(G1308&lt;$B$6,1,0)</x:f>
        <x:v>1</x:v>
      </x:c>
      <x:c r="I1308" s="26" t="n">
        <x:f>H1308*IF(F1308=0,E1308*$B$7,-E1308*$B$8)</x:f>
        <x:v>1404.054</x:v>
      </x:c>
    </x:row>
    <x:row r="1309">
      <x:c r="A1309" t="n">
        <x:v>2506</x:v>
      </x:c>
      <x:c r="B1309" t="str">
        <x:v>2024-10</x:v>
      </x:c>
      <x:c r="C1309" t="str">
        <x:v>Salaried</x:v>
      </x:c>
      <x:c r="D1309" t="str">
        <x:v>Group B</x:v>
      </x:c>
      <x:c r="E1309" s="26" t="n">
        <x:v>38354.58</x:v>
      </x:c>
      <x:c r="F1309" t="n">
        <x:v>0</x:v>
      </x:c>
      <x:c r="G1309" s="25" t="n">
        <x:v>0.070578</x:v>
      </x:c>
      <x:c r="H1309" t="n">
        <x:f>IF(G1309&lt;$B$6,1,0)</x:f>
        <x:v>1</x:v>
      </x:c>
      <x:c r="I1309" s="26" t="n">
        <x:f>H1309*IF(F1309=0,E1309*$B$7,-E1309*$B$8)</x:f>
        <x:v>4602.5496</x:v>
      </x:c>
    </x:row>
    <x:row r="1310">
      <x:c r="A1310" t="n">
        <x:v>2517</x:v>
      </x:c>
      <x:c r="B1310" t="str">
        <x:v>2024-10</x:v>
      </x:c>
      <x:c r="C1310" t="str">
        <x:v>Self employed</x:v>
      </x:c>
      <x:c r="D1310" t="str">
        <x:v>Group A</x:v>
      </x:c>
      <x:c r="E1310" s="26" t="n">
        <x:v>17828.49</x:v>
      </x:c>
      <x:c r="F1310" t="n">
        <x:v>0</x:v>
      </x:c>
      <x:c r="G1310" s="25" t="n">
        <x:v>0.135843</x:v>
      </x:c>
      <x:c r="H1310" t="n">
        <x:f>IF(G1310&lt;$B$6,1,0)</x:f>
        <x:v>1</x:v>
      </x:c>
      <x:c r="I1310" s="26" t="n">
        <x:f>H1310*IF(F1310=0,E1310*$B$7,-E1310*$B$8)</x:f>
        <x:v>2139.4188</x:v>
      </x:c>
    </x:row>
    <x:row r="1311">
      <x:c r="A1311" t="n">
        <x:v>2534</x:v>
      </x:c>
      <x:c r="B1311" t="str">
        <x:v>2024-10</x:v>
      </x:c>
      <x:c r="C1311" t="str">
        <x:v>Salaried</x:v>
      </x:c>
      <x:c r="D1311" t="str">
        <x:v>Group A</x:v>
      </x:c>
      <x:c r="E1311" s="26" t="n">
        <x:v>14816.68</x:v>
      </x:c>
      <x:c r="F1311" t="n">
        <x:v>0</x:v>
      </x:c>
      <x:c r="G1311" s="25" t="n">
        <x:v>0.40526</x:v>
      </x:c>
      <x:c r="H1311" t="n">
        <x:f>IF(G1311&lt;$B$6,1,0)</x:f>
        <x:v>0</x:v>
      </x:c>
      <x:c r="I1311" s="26" t="n">
        <x:f>H1311*IF(F1311=0,E1311*$B$7,-E1311*$B$8)</x:f>
        <x:v>0</x:v>
      </x:c>
    </x:row>
    <x:row r="1312">
      <x:c r="A1312" t="n">
        <x:v>2579</x:v>
      </x:c>
      <x:c r="B1312" t="str">
        <x:v>2024-10</x:v>
      </x:c>
      <x:c r="C1312" t="str">
        <x:v>Salaried</x:v>
      </x:c>
      <x:c r="D1312" t="str">
        <x:v>Group A</x:v>
      </x:c>
      <x:c r="E1312" s="26" t="n">
        <x:v>18086.04</x:v>
      </x:c>
      <x:c r="F1312" t="n">
        <x:v>0</x:v>
      </x:c>
      <x:c r="G1312" s="25" t="n">
        <x:v>0.1357</x:v>
      </x:c>
      <x:c r="H1312" t="n">
        <x:f>IF(G1312&lt;$B$6,1,0)</x:f>
        <x:v>1</x:v>
      </x:c>
      <x:c r="I1312" s="26" t="n">
        <x:f>H1312*IF(F1312=0,E1312*$B$7,-E1312*$B$8)</x:f>
        <x:v>2170.3248</x:v>
      </x:c>
    </x:row>
    <x:row r="1313">
      <x:c r="A1313" t="n">
        <x:v>2587</x:v>
      </x:c>
      <x:c r="B1313" t="str">
        <x:v>2024-10</x:v>
      </x:c>
      <x:c r="C1313" t="str">
        <x:v>Salaried</x:v>
      </x:c>
      <x:c r="D1313" t="str">
        <x:v>Group A</x:v>
      </x:c>
      <x:c r="E1313" s="26" t="n">
        <x:v>9356.76</x:v>
      </x:c>
      <x:c r="F1313" t="n">
        <x:v>1</x:v>
      </x:c>
      <x:c r="G1313" s="25" t="n">
        <x:v>0.219614</x:v>
      </x:c>
      <x:c r="H1313" t="n">
        <x:f>IF(G1313&lt;$B$6,1,0)</x:f>
        <x:v>0</x:v>
      </x:c>
      <x:c r="I1313" s="26" t="n">
        <x:f>H1313*IF(F1313=0,E1313*$B$7,-E1313*$B$8)</x:f>
        <x:v>0</x:v>
      </x:c>
    </x:row>
    <x:row r="1314">
      <x:c r="A1314" t="n">
        <x:v>2609</x:v>
      </x:c>
      <x:c r="B1314" t="str">
        <x:v>2024-10</x:v>
      </x:c>
      <x:c r="C1314" t="str">
        <x:v>Salaried</x:v>
      </x:c>
      <x:c r="D1314" t="str">
        <x:v>Group A</x:v>
      </x:c>
      <x:c r="E1314" s="26" t="n">
        <x:v>14664.19</x:v>
      </x:c>
      <x:c r="F1314" t="n">
        <x:v>0</x:v>
      </x:c>
      <x:c r="G1314" s="25" t="n">
        <x:v>0.200349</x:v>
      </x:c>
      <x:c r="H1314" t="n">
        <x:f>IF(G1314&lt;$B$6,1,0)</x:f>
        <x:v>0</x:v>
      </x:c>
      <x:c r="I1314" s="26" t="n">
        <x:f>H1314*IF(F1314=0,E1314*$B$7,-E1314*$B$8)</x:f>
        <x:v>0</x:v>
      </x:c>
    </x:row>
    <x:row r="1315">
      <x:c r="A1315" t="n">
        <x:v>2613</x:v>
      </x:c>
      <x:c r="B1315" t="str">
        <x:v>2024-10</x:v>
      </x:c>
      <x:c r="C1315" t="str">
        <x:v>Self employed</x:v>
      </x:c>
      <x:c r="D1315" t="str">
        <x:v>Group A</x:v>
      </x:c>
      <x:c r="E1315" s="26" t="n">
        <x:v>12112.85</x:v>
      </x:c>
      <x:c r="F1315" t="n">
        <x:v>0</x:v>
      </x:c>
      <x:c r="G1315" s="25" t="n">
        <x:v>0.033564</x:v>
      </x:c>
      <x:c r="H1315" t="n">
        <x:f>IF(G1315&lt;$B$6,1,0)</x:f>
        <x:v>1</x:v>
      </x:c>
      <x:c r="I1315" s="26" t="n">
        <x:f>H1315*IF(F1315=0,E1315*$B$7,-E1315*$B$8)</x:f>
        <x:v>1453.542</x:v>
      </x:c>
    </x:row>
    <x:row r="1316">
      <x:c r="A1316" t="n">
        <x:v>2614</x:v>
      </x:c>
      <x:c r="B1316" t="str">
        <x:v>2024-10</x:v>
      </x:c>
      <x:c r="C1316" t="str">
        <x:v>Salaried</x:v>
      </x:c>
      <x:c r="D1316" t="str">
        <x:v>Group B</x:v>
      </x:c>
      <x:c r="E1316" s="26" t="n">
        <x:v>6446</x:v>
      </x:c>
      <x:c r="F1316" t="n">
        <x:v>1</x:v>
      </x:c>
      <x:c r="G1316" s="25" t="n">
        <x:v>0.232835</x:v>
      </x:c>
      <x:c r="H1316" t="n">
        <x:f>IF(G1316&lt;$B$6,1,0)</x:f>
        <x:v>0</x:v>
      </x:c>
      <x:c r="I1316" s="26" t="n">
        <x:f>H1316*IF(F1316=0,E1316*$B$7,-E1316*$B$8)</x:f>
        <x:v>0</x:v>
      </x:c>
    </x:row>
    <x:row r="1317">
      <x:c r="A1317" t="n">
        <x:v>2619</x:v>
      </x:c>
      <x:c r="B1317" t="str">
        <x:v>2024-10</x:v>
      </x:c>
      <x:c r="C1317" t="str">
        <x:v>Salaried</x:v>
      </x:c>
      <x:c r="D1317" t="str">
        <x:v>Group A</x:v>
      </x:c>
      <x:c r="E1317" s="26" t="n">
        <x:v>9988.08</x:v>
      </x:c>
      <x:c r="F1317" t="n">
        <x:v>1</x:v>
      </x:c>
      <x:c r="G1317" s="25" t="n">
        <x:v>0.095337</x:v>
      </x:c>
      <x:c r="H1317" t="n">
        <x:f>IF(G1317&lt;$B$6,1,0)</x:f>
        <x:v>1</x:v>
      </x:c>
      <x:c r="I1317" s="26" t="n">
        <x:f>H1317*IF(F1317=0,E1317*$B$7,-E1317*$B$8)</x:f>
        <x:v>-6492.252</x:v>
      </x:c>
    </x:row>
    <x:row r="1318">
      <x:c r="A1318" t="n">
        <x:v>2625</x:v>
      </x:c>
      <x:c r="B1318" t="str">
        <x:v>2024-10</x:v>
      </x:c>
      <x:c r="C1318" t="str">
        <x:v>Salaried</x:v>
      </x:c>
      <x:c r="D1318" t="str">
        <x:v>Group B</x:v>
      </x:c>
      <x:c r="E1318" s="26" t="n">
        <x:v>12263.76</x:v>
      </x:c>
      <x:c r="F1318" t="n">
        <x:v>0</x:v>
      </x:c>
      <x:c r="G1318" s="25" t="n">
        <x:v>0.080056</x:v>
      </x:c>
      <x:c r="H1318" t="n">
        <x:f>IF(G1318&lt;$B$6,1,0)</x:f>
        <x:v>1</x:v>
      </x:c>
      <x:c r="I1318" s="26" t="n">
        <x:f>H1318*IF(F1318=0,E1318*$B$7,-E1318*$B$8)</x:f>
        <x:v>1471.6512</x:v>
      </x:c>
    </x:row>
    <x:row r="1319">
      <x:c r="A1319" t="n">
        <x:v>2638</x:v>
      </x:c>
      <x:c r="B1319" t="str">
        <x:v>2024-10</x:v>
      </x:c>
      <x:c r="C1319" t="str">
        <x:v>Salaried</x:v>
      </x:c>
      <x:c r="D1319" t="str">
        <x:v>Group B</x:v>
      </x:c>
      <x:c r="E1319" s="26" t="n">
        <x:v>54138.41</x:v>
      </x:c>
      <x:c r="F1319" t="n">
        <x:v>0</x:v>
      </x:c>
      <x:c r="G1319" s="25" t="n">
        <x:v>0.421735</x:v>
      </x:c>
      <x:c r="H1319" t="n">
        <x:f>IF(G1319&lt;$B$6,1,0)</x:f>
        <x:v>0</x:v>
      </x:c>
      <x:c r="I1319" s="26" t="n">
        <x:f>H1319*IF(F1319=0,E1319*$B$7,-E1319*$B$8)</x:f>
        <x:v>0</x:v>
      </x:c>
    </x:row>
    <x:row r="1320">
      <x:c r="A1320" t="n">
        <x:v>2645</x:v>
      </x:c>
      <x:c r="B1320" t="str">
        <x:v>2024-10</x:v>
      </x:c>
      <x:c r="C1320" t="str">
        <x:v>Contract</x:v>
      </x:c>
      <x:c r="D1320" t="str">
        <x:v>Group B</x:v>
      </x:c>
      <x:c r="E1320" s="26" t="n">
        <x:v>27792.98</x:v>
      </x:c>
      <x:c r="F1320" t="n">
        <x:v>1</x:v>
      </x:c>
      <x:c r="G1320" s="25" t="n">
        <x:v>0.594426</x:v>
      </x:c>
      <x:c r="H1320" t="n">
        <x:f>IF(G1320&lt;$B$6,1,0)</x:f>
        <x:v>0</x:v>
      </x:c>
      <x:c r="I1320" s="26" t="n">
        <x:f>H1320*IF(F1320=0,E1320*$B$7,-E1320*$B$8)</x:f>
        <x:v>0</x:v>
      </x:c>
    </x:row>
    <x:row r="1321">
      <x:c r="A1321" t="n">
        <x:v>2662</x:v>
      </x:c>
      <x:c r="B1321" t="str">
        <x:v>2024-10</x:v>
      </x:c>
      <x:c r="C1321" t="str">
        <x:v>Self employed</x:v>
      </x:c>
      <x:c r="D1321" t="str">
        <x:v>Group B</x:v>
      </x:c>
      <x:c r="E1321" s="26" t="n">
        <x:v>20133.62</x:v>
      </x:c>
      <x:c r="F1321" t="n">
        <x:v>0</x:v>
      </x:c>
      <x:c r="G1321" s="25" t="n">
        <x:v>0.130975</x:v>
      </x:c>
      <x:c r="H1321" t="n">
        <x:f>IF(G1321&lt;$B$6,1,0)</x:f>
        <x:v>1</x:v>
      </x:c>
      <x:c r="I1321" s="26" t="n">
        <x:f>H1321*IF(F1321=0,E1321*$B$7,-E1321*$B$8)</x:f>
        <x:v>2416.0344</x:v>
      </x:c>
    </x:row>
    <x:row r="1322">
      <x:c r="A1322" t="n">
        <x:v>2679</x:v>
      </x:c>
      <x:c r="B1322" t="str">
        <x:v>2024-10</x:v>
      </x:c>
      <x:c r="C1322" t="str">
        <x:v>Salaried</x:v>
      </x:c>
      <x:c r="D1322" t="str">
        <x:v>Group B</x:v>
      </x:c>
      <x:c r="E1322" s="26" t="n">
        <x:v>5125.35</x:v>
      </x:c>
      <x:c r="F1322" t="n">
        <x:v>1</x:v>
      </x:c>
      <x:c r="G1322" s="25" t="n">
        <x:v>0.122171</x:v>
      </x:c>
      <x:c r="H1322" t="n">
        <x:f>IF(G1322&lt;$B$6,1,0)</x:f>
        <x:v>1</x:v>
      </x:c>
      <x:c r="I1322" s="26" t="n">
        <x:f>H1322*IF(F1322=0,E1322*$B$7,-E1322*$B$8)</x:f>
        <x:v>-3331.4775000000004</x:v>
      </x:c>
    </x:row>
    <x:row r="1323">
      <x:c r="A1323" t="n">
        <x:v>2687</x:v>
      </x:c>
      <x:c r="B1323" t="str">
        <x:v>2024-10</x:v>
      </x:c>
      <x:c r="C1323" t="str">
        <x:v>Salaried</x:v>
      </x:c>
      <x:c r="D1323" t="str">
        <x:v>Group A</x:v>
      </x:c>
      <x:c r="E1323" s="26" t="n">
        <x:v>4751.78</x:v>
      </x:c>
      <x:c r="F1323" t="n">
        <x:v>0</x:v>
      </x:c>
      <x:c r="G1323" s="25" t="n">
        <x:v>0.231796</x:v>
      </x:c>
      <x:c r="H1323" t="n">
        <x:f>IF(G1323&lt;$B$6,1,0)</x:f>
        <x:v>0</x:v>
      </x:c>
      <x:c r="I1323" s="26" t="n">
        <x:f>H1323*IF(F1323=0,E1323*$B$7,-E1323*$B$8)</x:f>
        <x:v>0</x:v>
      </x:c>
    </x:row>
    <x:row r="1324">
      <x:c r="A1324" t="n">
        <x:v>2720</x:v>
      </x:c>
      <x:c r="B1324" t="str">
        <x:v>2024-10</x:v>
      </x:c>
      <x:c r="C1324" t="str">
        <x:v>Contract</x:v>
      </x:c>
      <x:c r="D1324" t="str">
        <x:v>Group A</x:v>
      </x:c>
      <x:c r="E1324" s="26" t="n">
        <x:v>34673.78</x:v>
      </x:c>
      <x:c r="F1324" t="n">
        <x:v>0</x:v>
      </x:c>
      <x:c r="G1324" s="25" t="n">
        <x:v>0.241102</x:v>
      </x:c>
      <x:c r="H1324" t="n">
        <x:f>IF(G1324&lt;$B$6,1,0)</x:f>
        <x:v>0</x:v>
      </x:c>
      <x:c r="I1324" s="26" t="n">
        <x:f>H1324*IF(F1324=0,E1324*$B$7,-E1324*$B$8)</x:f>
        <x:v>0</x:v>
      </x:c>
    </x:row>
    <x:row r="1325">
      <x:c r="A1325" t="n">
        <x:v>2721</x:v>
      </x:c>
      <x:c r="B1325" t="str">
        <x:v>2024-10</x:v>
      </x:c>
      <x:c r="C1325" t="str">
        <x:v>Salaried</x:v>
      </x:c>
      <x:c r="D1325" t="str">
        <x:v>Group A</x:v>
      </x:c>
      <x:c r="E1325" s="26" t="n">
        <x:v>5757.07</x:v>
      </x:c>
      <x:c r="F1325" t="n">
        <x:v>0</x:v>
      </x:c>
      <x:c r="G1325" s="25" t="n">
        <x:v>0.131993</x:v>
      </x:c>
      <x:c r="H1325" t="n">
        <x:f>IF(G1325&lt;$B$6,1,0)</x:f>
        <x:v>1</x:v>
      </x:c>
      <x:c r="I1325" s="26" t="n">
        <x:f>H1325*IF(F1325=0,E1325*$B$7,-E1325*$B$8)</x:f>
        <x:v>690.8484</x:v>
      </x:c>
    </x:row>
    <x:row r="1326">
      <x:c r="A1326" t="n">
        <x:v>2754</x:v>
      </x:c>
      <x:c r="B1326" t="str">
        <x:v>2024-10</x:v>
      </x:c>
      <x:c r="C1326" t="str">
        <x:v>Contract</x:v>
      </x:c>
      <x:c r="D1326" t="str">
        <x:v>Group A</x:v>
      </x:c>
      <x:c r="E1326" s="26" t="n">
        <x:v>8221.93</x:v>
      </x:c>
      <x:c r="F1326" t="n">
        <x:v>0</x:v>
      </x:c>
      <x:c r="G1326" s="25" t="n">
        <x:v>0.272668</x:v>
      </x:c>
      <x:c r="H1326" t="n">
        <x:f>IF(G1326&lt;$B$6,1,0)</x:f>
        <x:v>0</x:v>
      </x:c>
      <x:c r="I1326" s="26" t="n">
        <x:f>H1326*IF(F1326=0,E1326*$B$7,-E1326*$B$8)</x:f>
        <x:v>0</x:v>
      </x:c>
    </x:row>
    <x:row r="1327">
      <x:c r="A1327" t="n">
        <x:v>2759</x:v>
      </x:c>
      <x:c r="B1327" t="str">
        <x:v>2024-10</x:v>
      </x:c>
      <x:c r="C1327" t="str">
        <x:v>Salaried</x:v>
      </x:c>
      <x:c r="D1327" t="str">
        <x:v>Group A</x:v>
      </x:c>
      <x:c r="E1327" s="26" t="n">
        <x:v>9894.83</x:v>
      </x:c>
      <x:c r="F1327" t="n">
        <x:v>0</x:v>
      </x:c>
      <x:c r="G1327" s="25" t="n">
        <x:v>0.069454</x:v>
      </x:c>
      <x:c r="H1327" t="n">
        <x:f>IF(G1327&lt;$B$6,1,0)</x:f>
        <x:v>1</x:v>
      </x:c>
      <x:c r="I1327" s="26" t="n">
        <x:f>H1327*IF(F1327=0,E1327*$B$7,-E1327*$B$8)</x:f>
        <x:v>1187.3796</x:v>
      </x:c>
    </x:row>
    <x:row r="1328">
      <x:c r="A1328" t="n">
        <x:v>2767</x:v>
      </x:c>
      <x:c r="B1328" t="str">
        <x:v>2024-10</x:v>
      </x:c>
      <x:c r="C1328" t="str">
        <x:v>Self employed</x:v>
      </x:c>
      <x:c r="D1328" t="str">
        <x:v>Group B</x:v>
      </x:c>
      <x:c r="E1328" s="26" t="n">
        <x:v>9833.67</x:v>
      </x:c>
      <x:c r="F1328" t="n">
        <x:v>1</x:v>
      </x:c>
      <x:c r="G1328" s="25" t="n">
        <x:v>0.465064</x:v>
      </x:c>
      <x:c r="H1328" t="n">
        <x:f>IF(G1328&lt;$B$6,1,0)</x:f>
        <x:v>0</x:v>
      </x:c>
      <x:c r="I1328" s="26" t="n">
        <x:f>H1328*IF(F1328=0,E1328*$B$7,-E1328*$B$8)</x:f>
        <x:v>0</x:v>
      </x:c>
    </x:row>
    <x:row r="1329">
      <x:c r="A1329" t="n">
        <x:v>2774</x:v>
      </x:c>
      <x:c r="B1329" t="str">
        <x:v>2024-10</x:v>
      </x:c>
      <x:c r="C1329" t="str">
        <x:v>Salaried</x:v>
      </x:c>
      <x:c r="D1329" t="str">
        <x:v>Group B</x:v>
      </x:c>
      <x:c r="E1329" s="26" t="n">
        <x:v>34292.93</x:v>
      </x:c>
      <x:c r="F1329" t="n">
        <x:v>0</x:v>
      </x:c>
      <x:c r="G1329" s="25" t="n">
        <x:v>0.263844</x:v>
      </x:c>
      <x:c r="H1329" t="n">
        <x:f>IF(G1329&lt;$B$6,1,0)</x:f>
        <x:v>0</x:v>
      </x:c>
      <x:c r="I1329" s="26" t="n">
        <x:f>H1329*IF(F1329=0,E1329*$B$7,-E1329*$B$8)</x:f>
        <x:v>0</x:v>
      </x:c>
    </x:row>
    <x:row r="1330">
      <x:c r="A1330" t="n">
        <x:v>2798</x:v>
      </x:c>
      <x:c r="B1330" t="str">
        <x:v>2024-10</x:v>
      </x:c>
      <x:c r="C1330" t="str">
        <x:v>Salaried</x:v>
      </x:c>
      <x:c r="D1330" t="str">
        <x:v>Group B</x:v>
      </x:c>
      <x:c r="E1330" s="26" t="n">
        <x:v>25083.05</x:v>
      </x:c>
      <x:c r="F1330" t="n">
        <x:v>0</x:v>
      </x:c>
      <x:c r="G1330" s="25" t="n">
        <x:v>0.097679</x:v>
      </x:c>
      <x:c r="H1330" t="n">
        <x:f>IF(G1330&lt;$B$6,1,0)</x:f>
        <x:v>1</x:v>
      </x:c>
      <x:c r="I1330" s="26" t="n">
        <x:f>H1330*IF(F1330=0,E1330*$B$7,-E1330*$B$8)</x:f>
        <x:v>3009.966</x:v>
      </x:c>
    </x:row>
    <x:row r="1331">
      <x:c r="A1331" t="n">
        <x:v>2823</x:v>
      </x:c>
      <x:c r="B1331" t="str">
        <x:v>2024-10</x:v>
      </x:c>
      <x:c r="C1331" t="str">
        <x:v>Self employed</x:v>
      </x:c>
      <x:c r="D1331" t="str">
        <x:v>Group B</x:v>
      </x:c>
      <x:c r="E1331" s="26" t="n">
        <x:v>8017.36</x:v>
      </x:c>
      <x:c r="F1331" t="n">
        <x:v>0</x:v>
      </x:c>
      <x:c r="G1331" s="25" t="n">
        <x:v>0.169087</x:v>
      </x:c>
      <x:c r="H1331" t="n">
        <x:f>IF(G1331&lt;$B$6,1,0)</x:f>
        <x:v>0</x:v>
      </x:c>
      <x:c r="I1331" s="26" t="n">
        <x:f>H1331*IF(F1331=0,E1331*$B$7,-E1331*$B$8)</x:f>
        <x:v>0</x:v>
      </x:c>
    </x:row>
    <x:row r="1332">
      <x:c r="A1332" t="n">
        <x:v>2826</x:v>
      </x:c>
      <x:c r="B1332" t="str">
        <x:v>2024-10</x:v>
      </x:c>
      <x:c r="C1332" t="str">
        <x:v>Salaried</x:v>
      </x:c>
      <x:c r="D1332" t="str">
        <x:v>Group B</x:v>
      </x:c>
      <x:c r="E1332" s="26" t="n">
        <x:v>53667.36</x:v>
      </x:c>
      <x:c r="F1332" t="n">
        <x:v>0</x:v>
      </x:c>
      <x:c r="G1332" s="25" t="n">
        <x:v>0.085195</x:v>
      </x:c>
      <x:c r="H1332" t="n">
        <x:f>IF(G1332&lt;$B$6,1,0)</x:f>
        <x:v>1</x:v>
      </x:c>
      <x:c r="I1332" s="26" t="n">
        <x:f>H1332*IF(F1332=0,E1332*$B$7,-E1332*$B$8)</x:f>
        <x:v>6440.0832</x:v>
      </x:c>
    </x:row>
    <x:row r="1333">
      <x:c r="A1333" t="n">
        <x:v>2847</x:v>
      </x:c>
      <x:c r="B1333" t="str">
        <x:v>2024-10</x:v>
      </x:c>
      <x:c r="C1333" t="str">
        <x:v>Salaried</x:v>
      </x:c>
      <x:c r="D1333" t="str">
        <x:v>Group B</x:v>
      </x:c>
      <x:c r="E1333" s="26" t="n">
        <x:v>4999.25</x:v>
      </x:c>
      <x:c r="F1333" t="n">
        <x:v>0</x:v>
      </x:c>
      <x:c r="G1333" s="25" t="n">
        <x:v>0.067239</x:v>
      </x:c>
      <x:c r="H1333" t="n">
        <x:f>IF(G1333&lt;$B$6,1,0)</x:f>
        <x:v>1</x:v>
      </x:c>
      <x:c r="I1333" s="26" t="n">
        <x:f>H1333*IF(F1333=0,E1333*$B$7,-E1333*$B$8)</x:f>
        <x:v>599.91</x:v>
      </x:c>
    </x:row>
    <x:row r="1334">
      <x:c r="A1334" t="n">
        <x:v>2903</x:v>
      </x:c>
      <x:c r="B1334" t="str">
        <x:v>2024-10</x:v>
      </x:c>
      <x:c r="C1334" t="str">
        <x:v>Salaried</x:v>
      </x:c>
      <x:c r="D1334" t="str">
        <x:v>Group B</x:v>
      </x:c>
      <x:c r="E1334" s="26" t="n">
        <x:v>13059.96</x:v>
      </x:c>
      <x:c r="F1334" t="n">
        <x:v>0</x:v>
      </x:c>
      <x:c r="G1334" s="25" t="n">
        <x:v>0.200089</x:v>
      </x:c>
      <x:c r="H1334" t="n">
        <x:f>IF(G1334&lt;$B$6,1,0)</x:f>
        <x:v>0</x:v>
      </x:c>
      <x:c r="I1334" s="26" t="n">
        <x:f>H1334*IF(F1334=0,E1334*$B$7,-E1334*$B$8)</x:f>
        <x:v>0</x:v>
      </x:c>
    </x:row>
    <x:row r="1335">
      <x:c r="A1335" t="n">
        <x:v>2937</x:v>
      </x:c>
      <x:c r="B1335" t="str">
        <x:v>2024-10</x:v>
      </x:c>
      <x:c r="C1335" t="str">
        <x:v>Self employed</x:v>
      </x:c>
      <x:c r="D1335" t="str">
        <x:v>Group A</x:v>
      </x:c>
      <x:c r="E1335" s="26" t="n">
        <x:v>15646.2</x:v>
      </x:c>
      <x:c r="F1335" t="n">
        <x:v>1</x:v>
      </x:c>
      <x:c r="G1335" s="25" t="n">
        <x:v>0.110223</x:v>
      </x:c>
      <x:c r="H1335" t="n">
        <x:f>IF(G1335&lt;$B$6,1,0)</x:f>
        <x:v>1</x:v>
      </x:c>
      <x:c r="I1335" s="26" t="n">
        <x:f>H1335*IF(F1335=0,E1335*$B$7,-E1335*$B$8)</x:f>
        <x:v>-10170.03</x:v>
      </x:c>
    </x:row>
    <x:row r="1336">
      <x:c r="A1336" t="n">
        <x:v>2942</x:v>
      </x:c>
      <x:c r="B1336" t="str">
        <x:v>2024-10</x:v>
      </x:c>
      <x:c r="C1336" t="str">
        <x:v>Salaried</x:v>
      </x:c>
      <x:c r="D1336" t="str">
        <x:v>Group A</x:v>
      </x:c>
      <x:c r="E1336" s="26" t="n">
        <x:v>9046.52</x:v>
      </x:c>
      <x:c r="F1336" t="n">
        <x:v>0</x:v>
      </x:c>
      <x:c r="G1336" s="25" t="n">
        <x:v>0.037222</x:v>
      </x:c>
      <x:c r="H1336" t="n">
        <x:f>IF(G1336&lt;$B$6,1,0)</x:f>
        <x:v>1</x:v>
      </x:c>
      <x:c r="I1336" s="26" t="n">
        <x:f>H1336*IF(F1336=0,E1336*$B$7,-E1336*$B$8)</x:f>
        <x:v>1085.5824</x:v>
      </x:c>
    </x:row>
    <x:row r="1337">
      <x:c r="A1337" t="n">
        <x:v>2983</x:v>
      </x:c>
      <x:c r="B1337" t="str">
        <x:v>2024-10</x:v>
      </x:c>
      <x:c r="C1337" t="str">
        <x:v>Salaried</x:v>
      </x:c>
      <x:c r="D1337" t="str">
        <x:v>Group A</x:v>
      </x:c>
      <x:c r="E1337" s="26" t="n">
        <x:v>7415.93</x:v>
      </x:c>
      <x:c r="F1337" t="n">
        <x:v>1</x:v>
      </x:c>
      <x:c r="G1337" s="25" t="n">
        <x:v>0.186259</x:v>
      </x:c>
      <x:c r="H1337" t="n">
        <x:f>IF(G1337&lt;$B$6,1,0)</x:f>
        <x:v>0</x:v>
      </x:c>
      <x:c r="I1337" s="26" t="n">
        <x:f>H1337*IF(F1337=0,E1337*$B$7,-E1337*$B$8)</x:f>
        <x:v>0</x:v>
      </x:c>
    </x:row>
    <x:row r="1338">
      <x:c r="A1338" t="n">
        <x:v>2999</x:v>
      </x:c>
      <x:c r="B1338" t="str">
        <x:v>2024-10</x:v>
      </x:c>
      <x:c r="C1338" t="str">
        <x:v>Salaried</x:v>
      </x:c>
      <x:c r="D1338" t="str">
        <x:v>Group B</x:v>
      </x:c>
      <x:c r="E1338" s="26" t="n">
        <x:v>25176.49</x:v>
      </x:c>
      <x:c r="F1338" t="n">
        <x:v>1</x:v>
      </x:c>
      <x:c r="G1338" s="25" t="n">
        <x:v>0.288537</x:v>
      </x:c>
      <x:c r="H1338" t="n">
        <x:f>IF(G1338&lt;$B$6,1,0)</x:f>
        <x:v>0</x:v>
      </x:c>
      <x:c r="I1338" s="26" t="n">
        <x:f>H1338*IF(F1338=0,E1338*$B$7,-E1338*$B$8)</x:f>
        <x:v>0</x:v>
      </x:c>
    </x:row>
    <x:row r="1339">
      <x:c r="A1339" t="n">
        <x:v>3021</x:v>
      </x:c>
      <x:c r="B1339" t="str">
        <x:v>2024-10</x:v>
      </x:c>
      <x:c r="C1339" t="str">
        <x:v>Contract</x:v>
      </x:c>
      <x:c r="D1339" t="str">
        <x:v>Group A</x:v>
      </x:c>
      <x:c r="E1339" s="26" t="n">
        <x:v>10621.09</x:v>
      </x:c>
      <x:c r="F1339" t="n">
        <x:v>0</x:v>
      </x:c>
      <x:c r="G1339" s="25" t="n">
        <x:v>0.108161</x:v>
      </x:c>
      <x:c r="H1339" t="n">
        <x:f>IF(G1339&lt;$B$6,1,0)</x:f>
        <x:v>1</x:v>
      </x:c>
      <x:c r="I1339" s="26" t="n">
        <x:f>H1339*IF(F1339=0,E1339*$B$7,-E1339*$B$8)</x:f>
        <x:v>1274.5308</x:v>
      </x:c>
    </x:row>
    <x:row r="1340">
      <x:c r="A1340" t="n">
        <x:v>3045</x:v>
      </x:c>
      <x:c r="B1340" t="str">
        <x:v>2024-10</x:v>
      </x:c>
      <x:c r="C1340" t="str">
        <x:v>Salaried</x:v>
      </x:c>
      <x:c r="D1340" t="str">
        <x:v>Group B</x:v>
      </x:c>
      <x:c r="E1340" s="26" t="n">
        <x:v>9853.71</x:v>
      </x:c>
      <x:c r="F1340" t="n">
        <x:v>0</x:v>
      </x:c>
      <x:c r="G1340" s="25" t="n">
        <x:v>0.061104</x:v>
      </x:c>
      <x:c r="H1340" t="n">
        <x:f>IF(G1340&lt;$B$6,1,0)</x:f>
        <x:v>1</x:v>
      </x:c>
      <x:c r="I1340" s="26" t="n">
        <x:f>H1340*IF(F1340=0,E1340*$B$7,-E1340*$B$8)</x:f>
        <x:v>1182.4451999999999</x:v>
      </x:c>
    </x:row>
    <x:row r="1341">
      <x:c r="A1341" t="n">
        <x:v>3049</x:v>
      </x:c>
      <x:c r="B1341" t="str">
        <x:v>2024-10</x:v>
      </x:c>
      <x:c r="C1341" t="str">
        <x:v>Salaried</x:v>
      </x:c>
      <x:c r="D1341" t="str">
        <x:v>Group B</x:v>
      </x:c>
      <x:c r="E1341" s="26" t="n">
        <x:v>14267.79</x:v>
      </x:c>
      <x:c r="F1341" t="n">
        <x:v>0</x:v>
      </x:c>
      <x:c r="G1341" s="25" t="n">
        <x:v>0.065229</x:v>
      </x:c>
      <x:c r="H1341" t="n">
        <x:f>IF(G1341&lt;$B$6,1,0)</x:f>
        <x:v>1</x:v>
      </x:c>
      <x:c r="I1341" s="26" t="n">
        <x:f>H1341*IF(F1341=0,E1341*$B$7,-E1341*$B$8)</x:f>
        <x:v>1712.1348</x:v>
      </x:c>
    </x:row>
    <x:row r="1342">
      <x:c r="A1342" t="n">
        <x:v>3054</x:v>
      </x:c>
      <x:c r="B1342" t="str">
        <x:v>2024-10</x:v>
      </x:c>
      <x:c r="C1342" t="str">
        <x:v>Salaried</x:v>
      </x:c>
      <x:c r="D1342" t="str">
        <x:v>Group A</x:v>
      </x:c>
      <x:c r="E1342" s="26" t="n">
        <x:v>8025.14</x:v>
      </x:c>
      <x:c r="F1342" t="n">
        <x:v>0</x:v>
      </x:c>
      <x:c r="G1342" s="25" t="n">
        <x:v>0.307735</x:v>
      </x:c>
      <x:c r="H1342" t="n">
        <x:f>IF(G1342&lt;$B$6,1,0)</x:f>
        <x:v>0</x:v>
      </x:c>
      <x:c r="I1342" s="26" t="n">
        <x:f>H1342*IF(F1342=0,E1342*$B$7,-E1342*$B$8)</x:f>
        <x:v>0</x:v>
      </x:c>
    </x:row>
    <x:row r="1343">
      <x:c r="A1343" t="n">
        <x:v>3071</x:v>
      </x:c>
      <x:c r="B1343" t="str">
        <x:v>2024-10</x:v>
      </x:c>
      <x:c r="C1343" t="str">
        <x:v>Salaried</x:v>
      </x:c>
      <x:c r="D1343" t="str">
        <x:v>Group A</x:v>
      </x:c>
      <x:c r="E1343" s="26" t="n">
        <x:v>21429.09</x:v>
      </x:c>
      <x:c r="F1343" t="n">
        <x:v>1</x:v>
      </x:c>
      <x:c r="G1343" s="25" t="n">
        <x:v>0.162551</x:v>
      </x:c>
      <x:c r="H1343" t="n">
        <x:f>IF(G1343&lt;$B$6,1,0)</x:f>
        <x:v>0</x:v>
      </x:c>
      <x:c r="I1343" s="26" t="n">
        <x:f>H1343*IF(F1343=0,E1343*$B$7,-E1343*$B$8)</x:f>
        <x:v>0</x:v>
      </x:c>
    </x:row>
    <x:row r="1344">
      <x:c r="A1344" t="n">
        <x:v>3139</x:v>
      </x:c>
      <x:c r="B1344" t="str">
        <x:v>2024-10</x:v>
      </x:c>
      <x:c r="C1344" t="str">
        <x:v>Salaried</x:v>
      </x:c>
      <x:c r="D1344" t="str">
        <x:v>Group A</x:v>
      </x:c>
      <x:c r="E1344" s="26" t="n">
        <x:v>24401.18</x:v>
      </x:c>
      <x:c r="F1344" t="n">
        <x:v>1</x:v>
      </x:c>
      <x:c r="G1344" s="25" t="n">
        <x:v>0.277067</x:v>
      </x:c>
      <x:c r="H1344" t="n">
        <x:f>IF(G1344&lt;$B$6,1,0)</x:f>
        <x:v>0</x:v>
      </x:c>
      <x:c r="I1344" s="26" t="n">
        <x:f>H1344*IF(F1344=0,E1344*$B$7,-E1344*$B$8)</x:f>
        <x:v>0</x:v>
      </x:c>
    </x:row>
    <x:row r="1345">
      <x:c r="A1345" t="n">
        <x:v>3160</x:v>
      </x:c>
      <x:c r="B1345" t="str">
        <x:v>2024-10</x:v>
      </x:c>
      <x:c r="C1345" t="str">
        <x:v>Salaried</x:v>
      </x:c>
      <x:c r="D1345" t="str">
        <x:v>Group B</x:v>
      </x:c>
      <x:c r="E1345" s="26" t="n">
        <x:v>17315.01</x:v>
      </x:c>
      <x:c r="F1345" t="n">
        <x:v>1</x:v>
      </x:c>
      <x:c r="G1345" s="25" t="n">
        <x:v>0.141695</x:v>
      </x:c>
      <x:c r="H1345" t="n">
        <x:f>IF(G1345&lt;$B$6,1,0)</x:f>
        <x:v>1</x:v>
      </x:c>
      <x:c r="I1345" s="26" t="n">
        <x:f>H1345*IF(F1345=0,E1345*$B$7,-E1345*$B$8)</x:f>
        <x:v>-11254.7565</x:v>
      </x:c>
    </x:row>
    <x:row r="1346">
      <x:c r="A1346" t="n">
        <x:v>3169</x:v>
      </x:c>
      <x:c r="B1346" t="str">
        <x:v>2024-10</x:v>
      </x:c>
      <x:c r="C1346" t="str">
        <x:v>Salaried</x:v>
      </x:c>
      <x:c r="D1346" t="str">
        <x:v>Group B</x:v>
      </x:c>
      <x:c r="E1346" s="26" t="n">
        <x:v>27652.84</x:v>
      </x:c>
      <x:c r="F1346" t="n">
        <x:v>1</x:v>
      </x:c>
      <x:c r="G1346" s="25" t="n">
        <x:v>0.379934</x:v>
      </x:c>
      <x:c r="H1346" t="n">
        <x:f>IF(G1346&lt;$B$6,1,0)</x:f>
        <x:v>0</x:v>
      </x:c>
      <x:c r="I1346" s="26" t="n">
        <x:f>H1346*IF(F1346=0,E1346*$B$7,-E1346*$B$8)</x:f>
        <x:v>0</x:v>
      </x:c>
    </x:row>
    <x:row r="1347">
      <x:c r="A1347" t="n">
        <x:v>3196</x:v>
      </x:c>
      <x:c r="B1347" t="str">
        <x:v>2024-10</x:v>
      </x:c>
      <x:c r="C1347" t="str">
        <x:v>Salaried</x:v>
      </x:c>
      <x:c r="D1347" t="str">
        <x:v>Group A</x:v>
      </x:c>
      <x:c r="E1347" s="26" t="n">
        <x:v>3235.68</x:v>
      </x:c>
      <x:c r="F1347" t="n">
        <x:v>1</x:v>
      </x:c>
      <x:c r="G1347" s="25" t="n">
        <x:v>0.604531</x:v>
      </x:c>
      <x:c r="H1347" t="n">
        <x:f>IF(G1347&lt;$B$6,1,0)</x:f>
        <x:v>0</x:v>
      </x:c>
      <x:c r="I1347" s="26" t="n">
        <x:f>H1347*IF(F1347=0,E1347*$B$7,-E1347*$B$8)</x:f>
        <x:v>0</x:v>
      </x:c>
    </x:row>
    <x:row r="1348">
      <x:c r="A1348" t="n">
        <x:v>3206</x:v>
      </x:c>
      <x:c r="B1348" t="str">
        <x:v>2024-10</x:v>
      </x:c>
      <x:c r="C1348" t="str">
        <x:v>Self employed</x:v>
      </x:c>
      <x:c r="D1348" t="str">
        <x:v>Group B</x:v>
      </x:c>
      <x:c r="E1348" s="26" t="n">
        <x:v>10205.27</x:v>
      </x:c>
      <x:c r="F1348" t="n">
        <x:v>0</x:v>
      </x:c>
      <x:c r="G1348" s="25" t="n">
        <x:v>0.302726</x:v>
      </x:c>
      <x:c r="H1348" t="n">
        <x:f>IF(G1348&lt;$B$6,1,0)</x:f>
        <x:v>0</x:v>
      </x:c>
      <x:c r="I1348" s="26" t="n">
        <x:f>H1348*IF(F1348=0,E1348*$B$7,-E1348*$B$8)</x:f>
        <x:v>0</x:v>
      </x:c>
    </x:row>
    <x:row r="1349">
      <x:c r="A1349" t="n">
        <x:v>3267</x:v>
      </x:c>
      <x:c r="B1349" t="str">
        <x:v>2024-10</x:v>
      </x:c>
      <x:c r="C1349" t="str">
        <x:v>Contract</x:v>
      </x:c>
      <x:c r="D1349" t="str">
        <x:v>Group B</x:v>
      </x:c>
      <x:c r="E1349" s="26" t="n">
        <x:v>9207.57</x:v>
      </x:c>
      <x:c r="F1349" t="n">
        <x:v>0</x:v>
      </x:c>
      <x:c r="G1349" s="25" t="n">
        <x:v>0.295245</x:v>
      </x:c>
      <x:c r="H1349" t="n">
        <x:f>IF(G1349&lt;$B$6,1,0)</x:f>
        <x:v>0</x:v>
      </x:c>
      <x:c r="I1349" s="26" t="n">
        <x:f>H1349*IF(F1349=0,E1349*$B$7,-E1349*$B$8)</x:f>
        <x:v>0</x:v>
      </x:c>
    </x:row>
    <x:row r="1350">
      <x:c r="A1350" t="n">
        <x:v>3270</x:v>
      </x:c>
      <x:c r="B1350" t="str">
        <x:v>2024-10</x:v>
      </x:c>
      <x:c r="C1350" t="str">
        <x:v>Salaried</x:v>
      </x:c>
      <x:c r="D1350" t="str">
        <x:v>Group A</x:v>
      </x:c>
      <x:c r="E1350" s="26" t="n">
        <x:v>30016.35</x:v>
      </x:c>
      <x:c r="F1350" t="n">
        <x:v>1</x:v>
      </x:c>
      <x:c r="G1350" s="25" t="n">
        <x:v>0.666077</x:v>
      </x:c>
      <x:c r="H1350" t="n">
        <x:f>IF(G1350&lt;$B$6,1,0)</x:f>
        <x:v>0</x:v>
      </x:c>
      <x:c r="I1350" s="26" t="n">
        <x:f>H1350*IF(F1350=0,E1350*$B$7,-E1350*$B$8)</x:f>
        <x:v>0</x:v>
      </x:c>
    </x:row>
    <x:row r="1351">
      <x:c r="A1351" t="n">
        <x:v>3290</x:v>
      </x:c>
      <x:c r="B1351" t="str">
        <x:v>2024-10</x:v>
      </x:c>
      <x:c r="C1351" t="str">
        <x:v>Salaried</x:v>
      </x:c>
      <x:c r="D1351" t="str">
        <x:v>Group A</x:v>
      </x:c>
      <x:c r="E1351" s="26" t="n">
        <x:v>26132.89</x:v>
      </x:c>
      <x:c r="F1351" t="n">
        <x:v>0</x:v>
      </x:c>
      <x:c r="G1351" s="25" t="n">
        <x:v>0.371264</x:v>
      </x:c>
      <x:c r="H1351" t="n">
        <x:f>IF(G1351&lt;$B$6,1,0)</x:f>
        <x:v>0</x:v>
      </x:c>
      <x:c r="I1351" s="26" t="n">
        <x:f>H1351*IF(F1351=0,E1351*$B$7,-E1351*$B$8)</x:f>
        <x:v>0</x:v>
      </x:c>
    </x:row>
    <x:row r="1352">
      <x:c r="A1352" t="n">
        <x:v>3292</x:v>
      </x:c>
      <x:c r="B1352" t="str">
        <x:v>2024-10</x:v>
      </x:c>
      <x:c r="C1352" t="str">
        <x:v>Salaried</x:v>
      </x:c>
      <x:c r="D1352" t="str">
        <x:v>Group A</x:v>
      </x:c>
      <x:c r="E1352" s="26" t="n">
        <x:v>20723.3</x:v>
      </x:c>
      <x:c r="F1352" t="n">
        <x:v>0</x:v>
      </x:c>
      <x:c r="G1352" s="25" t="n">
        <x:v>0.293059</x:v>
      </x:c>
      <x:c r="H1352" t="n">
        <x:f>IF(G1352&lt;$B$6,1,0)</x:f>
        <x:v>0</x:v>
      </x:c>
      <x:c r="I1352" s="26" t="n">
        <x:f>H1352*IF(F1352=0,E1352*$B$7,-E1352*$B$8)</x:f>
        <x:v>0</x:v>
      </x:c>
    </x:row>
    <x:row r="1353">
      <x:c r="A1353" t="n">
        <x:v>3310</x:v>
      </x:c>
      <x:c r="B1353" t="str">
        <x:v>2024-10</x:v>
      </x:c>
      <x:c r="C1353" t="str">
        <x:v>Self employed</x:v>
      </x:c>
      <x:c r="D1353" t="str">
        <x:v>Group A</x:v>
      </x:c>
      <x:c r="E1353" s="26" t="n">
        <x:v>32986.04</x:v>
      </x:c>
      <x:c r="F1353" t="n">
        <x:v>1</x:v>
      </x:c>
      <x:c r="G1353" s="25" t="n">
        <x:v>0.515926</x:v>
      </x:c>
      <x:c r="H1353" t="n">
        <x:f>IF(G1353&lt;$B$6,1,0)</x:f>
        <x:v>0</x:v>
      </x:c>
      <x:c r="I1353" s="26" t="n">
        <x:f>H1353*IF(F1353=0,E1353*$B$7,-E1353*$B$8)</x:f>
        <x:v>0</x:v>
      </x:c>
    </x:row>
    <x:row r="1354">
      <x:c r="A1354" t="n">
        <x:v>3349</x:v>
      </x:c>
      <x:c r="B1354" t="str">
        <x:v>2024-10</x:v>
      </x:c>
      <x:c r="C1354" t="str">
        <x:v>Salaried</x:v>
      </x:c>
      <x:c r="D1354" t="str">
        <x:v>Group A</x:v>
      </x:c>
      <x:c r="E1354" s="26" t="n">
        <x:v>32600.95</x:v>
      </x:c>
      <x:c r="F1354" t="n">
        <x:v>0</x:v>
      </x:c>
      <x:c r="G1354" s="25" t="n">
        <x:v>0.040489</x:v>
      </x:c>
      <x:c r="H1354" t="n">
        <x:f>IF(G1354&lt;$B$6,1,0)</x:f>
        <x:v>1</x:v>
      </x:c>
      <x:c r="I1354" s="26" t="n">
        <x:f>H1354*IF(F1354=0,E1354*$B$7,-E1354*$B$8)</x:f>
        <x:v>3912.114</x:v>
      </x:c>
    </x:row>
    <x:row r="1355">
      <x:c r="A1355" t="n">
        <x:v>3353</x:v>
      </x:c>
      <x:c r="B1355" t="str">
        <x:v>2024-10</x:v>
      </x:c>
      <x:c r="C1355" t="str">
        <x:v>Salaried</x:v>
      </x:c>
      <x:c r="D1355" t="str">
        <x:v>Group B</x:v>
      </x:c>
      <x:c r="E1355" s="26" t="n">
        <x:v>30258.96</x:v>
      </x:c>
      <x:c r="F1355" t="n">
        <x:v>0</x:v>
      </x:c>
      <x:c r="G1355" s="25" t="n">
        <x:v>0.107578</x:v>
      </x:c>
      <x:c r="H1355" t="n">
        <x:f>IF(G1355&lt;$B$6,1,0)</x:f>
        <x:v>1</x:v>
      </x:c>
      <x:c r="I1355" s="26" t="n">
        <x:f>H1355*IF(F1355=0,E1355*$B$7,-E1355*$B$8)</x:f>
        <x:v>3631.0751999999998</x:v>
      </x:c>
    </x:row>
    <x:row r="1356">
      <x:c r="A1356" t="n">
        <x:v>3366</x:v>
      </x:c>
      <x:c r="B1356" t="str">
        <x:v>2024-10</x:v>
      </x:c>
      <x:c r="C1356" t="str">
        <x:v>Self employed</x:v>
      </x:c>
      <x:c r="D1356" t="str">
        <x:v>Group A</x:v>
      </x:c>
      <x:c r="E1356" s="26" t="n">
        <x:v>12403.51</x:v>
      </x:c>
      <x:c r="F1356" t="n">
        <x:v>1</x:v>
      </x:c>
      <x:c r="G1356" s="25" t="n">
        <x:v>0.487029</x:v>
      </x:c>
      <x:c r="H1356" t="n">
        <x:f>IF(G1356&lt;$B$6,1,0)</x:f>
        <x:v>0</x:v>
      </x:c>
      <x:c r="I1356" s="26" t="n">
        <x:f>H1356*IF(F1356=0,E1356*$B$7,-E1356*$B$8)</x:f>
        <x:v>0</x:v>
      </x:c>
    </x:row>
    <x:row r="1357">
      <x:c r="A1357" t="n">
        <x:v>3376</x:v>
      </x:c>
      <x:c r="B1357" t="str">
        <x:v>2024-10</x:v>
      </x:c>
      <x:c r="C1357" t="str">
        <x:v>Salaried</x:v>
      </x:c>
      <x:c r="D1357" t="str">
        <x:v>Group A</x:v>
      </x:c>
      <x:c r="E1357" s="26" t="n">
        <x:v>14910.21</x:v>
      </x:c>
      <x:c r="F1357" t="n">
        <x:v>1</x:v>
      </x:c>
      <x:c r="G1357" s="25" t="n">
        <x:v>0.496084</x:v>
      </x:c>
      <x:c r="H1357" t="n">
        <x:f>IF(G1357&lt;$B$6,1,0)</x:f>
        <x:v>0</x:v>
      </x:c>
      <x:c r="I1357" s="26" t="n">
        <x:f>H1357*IF(F1357=0,E1357*$B$7,-E1357*$B$8)</x:f>
        <x:v>0</x:v>
      </x:c>
    </x:row>
    <x:row r="1358">
      <x:c r="A1358" t="n">
        <x:v>3382</x:v>
      </x:c>
      <x:c r="B1358" t="str">
        <x:v>2024-10</x:v>
      </x:c>
      <x:c r="C1358" t="str">
        <x:v>Salaried</x:v>
      </x:c>
      <x:c r="D1358" t="str">
        <x:v>Group B</x:v>
      </x:c>
      <x:c r="E1358" s="26" t="n">
        <x:v>12330.51</x:v>
      </x:c>
      <x:c r="F1358" t="n">
        <x:v>0</x:v>
      </x:c>
      <x:c r="G1358" s="25" t="n">
        <x:v>0.256148</x:v>
      </x:c>
      <x:c r="H1358" t="n">
        <x:f>IF(G1358&lt;$B$6,1,0)</x:f>
        <x:v>0</x:v>
      </x:c>
      <x:c r="I1358" s="26" t="n">
        <x:f>H1358*IF(F1358=0,E1358*$B$7,-E1358*$B$8)</x:f>
        <x:v>0</x:v>
      </x:c>
    </x:row>
    <x:row r="1359">
      <x:c r="A1359" t="n">
        <x:v>3391</x:v>
      </x:c>
      <x:c r="B1359" t="str">
        <x:v>2024-10</x:v>
      </x:c>
      <x:c r="C1359" t="str">
        <x:v>Salaried</x:v>
      </x:c>
      <x:c r="D1359" t="str">
        <x:v>Group A</x:v>
      </x:c>
      <x:c r="E1359" s="26" t="n">
        <x:v>29843.77</x:v>
      </x:c>
      <x:c r="F1359" t="n">
        <x:v>0</x:v>
      </x:c>
      <x:c r="G1359" s="25" t="n">
        <x:v>0.348088</x:v>
      </x:c>
      <x:c r="H1359" t="n">
        <x:f>IF(G1359&lt;$B$6,1,0)</x:f>
        <x:v>0</x:v>
      </x:c>
      <x:c r="I1359" s="26" t="n">
        <x:f>H1359*IF(F1359=0,E1359*$B$7,-E1359*$B$8)</x:f>
        <x:v>0</x:v>
      </x:c>
    </x:row>
    <x:row r="1360">
      <x:c r="A1360" t="n">
        <x:v>3393</x:v>
      </x:c>
      <x:c r="B1360" t="str">
        <x:v>2024-10</x:v>
      </x:c>
      <x:c r="C1360" t="str">
        <x:v>Salaried</x:v>
      </x:c>
      <x:c r="D1360" t="str">
        <x:v>Group A</x:v>
      </x:c>
      <x:c r="E1360" s="26" t="n">
        <x:v>14577.92</x:v>
      </x:c>
      <x:c r="F1360" t="n">
        <x:v>0</x:v>
      </x:c>
      <x:c r="G1360" s="25" t="n">
        <x:v>0.139443</x:v>
      </x:c>
      <x:c r="H1360" t="n">
        <x:f>IF(G1360&lt;$B$6,1,0)</x:f>
        <x:v>1</x:v>
      </x:c>
      <x:c r="I1360" s="26" t="n">
        <x:f>H1360*IF(F1360=0,E1360*$B$7,-E1360*$B$8)</x:f>
        <x:v>1749.3504</x:v>
      </x:c>
    </x:row>
    <x:row r="1361">
      <x:c r="A1361" t="n">
        <x:v>3419</x:v>
      </x:c>
      <x:c r="B1361" t="str">
        <x:v>2024-10</x:v>
      </x:c>
      <x:c r="C1361" t="str">
        <x:v>Salaried</x:v>
      </x:c>
      <x:c r="D1361" t="str">
        <x:v>Group A</x:v>
      </x:c>
      <x:c r="E1361" s="26" t="n">
        <x:v>24884.22</x:v>
      </x:c>
      <x:c r="F1361" t="n">
        <x:v>0</x:v>
      </x:c>
      <x:c r="G1361" s="25" t="n">
        <x:v>0.082181</x:v>
      </x:c>
      <x:c r="H1361" t="n">
        <x:f>IF(G1361&lt;$B$6,1,0)</x:f>
        <x:v>1</x:v>
      </x:c>
      <x:c r="I1361" s="26" t="n">
        <x:f>H1361*IF(F1361=0,E1361*$B$7,-E1361*$B$8)</x:f>
        <x:v>2986.1064</x:v>
      </x:c>
    </x:row>
    <x:row r="1362">
      <x:c r="A1362" t="n">
        <x:v>3444</x:v>
      </x:c>
      <x:c r="B1362" t="str">
        <x:v>2024-10</x:v>
      </x:c>
      <x:c r="C1362" t="str">
        <x:v>Salaried</x:v>
      </x:c>
      <x:c r="D1362" t="str">
        <x:v>Group A</x:v>
      </x:c>
      <x:c r="E1362" s="26" t="n">
        <x:v>13412.64</x:v>
      </x:c>
      <x:c r="F1362" t="n">
        <x:v>0</x:v>
      </x:c>
      <x:c r="G1362" s="25" t="n">
        <x:v>0.208355</x:v>
      </x:c>
      <x:c r="H1362" t="n">
        <x:f>IF(G1362&lt;$B$6,1,0)</x:f>
        <x:v>0</x:v>
      </x:c>
      <x:c r="I1362" s="26" t="n">
        <x:f>H1362*IF(F1362=0,E1362*$B$7,-E1362*$B$8)</x:f>
        <x:v>0</x:v>
      </x:c>
    </x:row>
    <x:row r="1363">
      <x:c r="A1363" t="n">
        <x:v>3484</x:v>
      </x:c>
      <x:c r="B1363" t="str">
        <x:v>2024-10</x:v>
      </x:c>
      <x:c r="C1363" t="str">
        <x:v>Salaried</x:v>
      </x:c>
      <x:c r="D1363" t="str">
        <x:v>Group A</x:v>
      </x:c>
      <x:c r="E1363" s="26" t="n">
        <x:v>14892.46</x:v>
      </x:c>
      <x:c r="F1363" t="n">
        <x:v>0</x:v>
      </x:c>
      <x:c r="G1363" s="25" t="n">
        <x:v>0.251111</x:v>
      </x:c>
      <x:c r="H1363" t="n">
        <x:f>IF(G1363&lt;$B$6,1,0)</x:f>
        <x:v>0</x:v>
      </x:c>
      <x:c r="I1363" s="26" t="n">
        <x:f>H1363*IF(F1363=0,E1363*$B$7,-E1363*$B$8)</x:f>
        <x:v>0</x:v>
      </x:c>
    </x:row>
    <x:row r="1364">
      <x:c r="A1364" t="n">
        <x:v>3582</x:v>
      </x:c>
      <x:c r="B1364" t="str">
        <x:v>2024-10</x:v>
      </x:c>
      <x:c r="C1364" t="str">
        <x:v>Contract</x:v>
      </x:c>
      <x:c r="D1364" t="str">
        <x:v>Group A</x:v>
      </x:c>
      <x:c r="E1364" s="26" t="n">
        <x:v>39346.82</x:v>
      </x:c>
      <x:c r="F1364" t="n">
        <x:v>0</x:v>
      </x:c>
      <x:c r="G1364" s="25" t="n">
        <x:v>0.081526</x:v>
      </x:c>
      <x:c r="H1364" t="n">
        <x:f>IF(G1364&lt;$B$6,1,0)</x:f>
        <x:v>1</x:v>
      </x:c>
      <x:c r="I1364" s="26" t="n">
        <x:f>H1364*IF(F1364=0,E1364*$B$7,-E1364*$B$8)</x:f>
        <x:v>4721.618399999999</x:v>
      </x:c>
    </x:row>
    <x:row r="1365">
      <x:c r="A1365" t="n">
        <x:v>3584</x:v>
      </x:c>
      <x:c r="B1365" t="str">
        <x:v>2024-10</x:v>
      </x:c>
      <x:c r="C1365" t="str">
        <x:v>Salaried</x:v>
      </x:c>
      <x:c r="D1365" t="str">
        <x:v>Group A</x:v>
      </x:c>
      <x:c r="E1365" s="26" t="n">
        <x:v>9819.69</x:v>
      </x:c>
      <x:c r="F1365" t="n">
        <x:v>0</x:v>
      </x:c>
      <x:c r="G1365" s="25" t="n">
        <x:v>0.103566</x:v>
      </x:c>
      <x:c r="H1365" t="n">
        <x:f>IF(G1365&lt;$B$6,1,0)</x:f>
        <x:v>1</x:v>
      </x:c>
      <x:c r="I1365" s="26" t="n">
        <x:f>H1365*IF(F1365=0,E1365*$B$7,-E1365*$B$8)</x:f>
        <x:v>1178.3628</x:v>
      </x:c>
    </x:row>
    <x:row r="1366">
      <x:c r="A1366" t="n">
        <x:v>3604</x:v>
      </x:c>
      <x:c r="B1366" t="str">
        <x:v>2024-10</x:v>
      </x:c>
      <x:c r="C1366" t="str">
        <x:v>Contract</x:v>
      </x:c>
      <x:c r="D1366" t="str">
        <x:v>Group A</x:v>
      </x:c>
      <x:c r="E1366" s="26" t="n">
        <x:v>8372.81</x:v>
      </x:c>
      <x:c r="F1366" t="n">
        <x:v>0</x:v>
      </x:c>
      <x:c r="G1366" s="25" t="n">
        <x:v>0.23066</x:v>
      </x:c>
      <x:c r="H1366" t="n">
        <x:f>IF(G1366&lt;$B$6,1,0)</x:f>
        <x:v>0</x:v>
      </x:c>
      <x:c r="I1366" s="26" t="n">
        <x:f>H1366*IF(F1366=0,E1366*$B$7,-E1366*$B$8)</x:f>
        <x:v>0</x:v>
      </x:c>
    </x:row>
    <x:row r="1367">
      <x:c r="A1367" t="n">
        <x:v>3607</x:v>
      </x:c>
      <x:c r="B1367" t="str">
        <x:v>2024-10</x:v>
      </x:c>
      <x:c r="C1367" t="str">
        <x:v>Salaried</x:v>
      </x:c>
      <x:c r="D1367" t="str">
        <x:v>Group A</x:v>
      </x:c>
      <x:c r="E1367" s="26" t="n">
        <x:v>6736.38</x:v>
      </x:c>
      <x:c r="F1367" t="n">
        <x:v>0</x:v>
      </x:c>
      <x:c r="G1367" s="25" t="n">
        <x:v>0.251108</x:v>
      </x:c>
      <x:c r="H1367" t="n">
        <x:f>IF(G1367&lt;$B$6,1,0)</x:f>
        <x:v>0</x:v>
      </x:c>
      <x:c r="I1367" s="26" t="n">
        <x:f>H1367*IF(F1367=0,E1367*$B$7,-E1367*$B$8)</x:f>
        <x:v>0</x:v>
      </x:c>
    </x:row>
    <x:row r="1368">
      <x:c r="A1368" t="n">
        <x:v>3673</x:v>
      </x:c>
      <x:c r="B1368" t="str">
        <x:v>2024-10</x:v>
      </x:c>
      <x:c r="C1368" t="str">
        <x:v>Salaried</x:v>
      </x:c>
      <x:c r="D1368" t="str">
        <x:v>Group B</x:v>
      </x:c>
      <x:c r="E1368" s="26" t="n">
        <x:v>12044.91</x:v>
      </x:c>
      <x:c r="F1368" t="n">
        <x:v>1</x:v>
      </x:c>
      <x:c r="G1368" s="25" t="n">
        <x:v>0.506305</x:v>
      </x:c>
      <x:c r="H1368" t="n">
        <x:f>IF(G1368&lt;$B$6,1,0)</x:f>
        <x:v>0</x:v>
      </x:c>
      <x:c r="I1368" s="26" t="n">
        <x:f>H1368*IF(F1368=0,E1368*$B$7,-E1368*$B$8)</x:f>
        <x:v>0</x:v>
      </x:c>
    </x:row>
    <x:row r="1369">
      <x:c r="A1369" t="n">
        <x:v>3685</x:v>
      </x:c>
      <x:c r="B1369" t="str">
        <x:v>2024-10</x:v>
      </x:c>
      <x:c r="C1369" t="str">
        <x:v>Salaried</x:v>
      </x:c>
      <x:c r="D1369" t="str">
        <x:v>Group B</x:v>
      </x:c>
      <x:c r="E1369" s="26" t="n">
        <x:v>31140.37</x:v>
      </x:c>
      <x:c r="F1369" t="n">
        <x:v>0</x:v>
      </x:c>
      <x:c r="G1369" s="25" t="n">
        <x:v>0.1084</x:v>
      </x:c>
      <x:c r="H1369" t="n">
        <x:f>IF(G1369&lt;$B$6,1,0)</x:f>
        <x:v>1</x:v>
      </x:c>
      <x:c r="I1369" s="26" t="n">
        <x:f>H1369*IF(F1369=0,E1369*$B$7,-E1369*$B$8)</x:f>
        <x:v>3736.8444</x:v>
      </x:c>
    </x:row>
    <x:row r="1370">
      <x:c r="A1370" t="n">
        <x:v>3724</x:v>
      </x:c>
      <x:c r="B1370" t="str">
        <x:v>2024-10</x:v>
      </x:c>
      <x:c r="C1370" t="str">
        <x:v>Salaried</x:v>
      </x:c>
      <x:c r="D1370" t="str">
        <x:v>Group B</x:v>
      </x:c>
      <x:c r="E1370" s="26" t="n">
        <x:v>4940.85</x:v>
      </x:c>
      <x:c r="F1370" t="n">
        <x:v>0</x:v>
      </x:c>
      <x:c r="G1370" s="25" t="n">
        <x:v>0.035749</x:v>
      </x:c>
      <x:c r="H1370" t="n">
        <x:f>IF(G1370&lt;$B$6,1,0)</x:f>
        <x:v>1</x:v>
      </x:c>
      <x:c r="I1370" s="26" t="n">
        <x:f>H1370*IF(F1370=0,E1370*$B$7,-E1370*$B$8)</x:f>
        <x:v>592.902</x:v>
      </x:c>
    </x:row>
    <x:row r="1371">
      <x:c r="A1371" t="n">
        <x:v>3726</x:v>
      </x:c>
      <x:c r="B1371" t="str">
        <x:v>2024-10</x:v>
      </x:c>
      <x:c r="C1371" t="str">
        <x:v>Self employed</x:v>
      </x:c>
      <x:c r="D1371" t="str">
        <x:v>Group B</x:v>
      </x:c>
      <x:c r="E1371" s="26" t="n">
        <x:v>13360.6</x:v>
      </x:c>
      <x:c r="F1371" t="n">
        <x:v>0</x:v>
      </x:c>
      <x:c r="G1371" s="25" t="n">
        <x:v>0.275648</x:v>
      </x:c>
      <x:c r="H1371" t="n">
        <x:f>IF(G1371&lt;$B$6,1,0)</x:f>
        <x:v>0</x:v>
      </x:c>
      <x:c r="I1371" s="26" t="n">
        <x:f>H1371*IF(F1371=0,E1371*$B$7,-E1371*$B$8)</x:f>
        <x:v>0</x:v>
      </x:c>
    </x:row>
    <x:row r="1372">
      <x:c r="A1372" t="n">
        <x:v>3735</x:v>
      </x:c>
      <x:c r="B1372" t="str">
        <x:v>2024-10</x:v>
      </x:c>
      <x:c r="C1372" t="str">
        <x:v>Self employed</x:v>
      </x:c>
      <x:c r="D1372" t="str">
        <x:v>Group A</x:v>
      </x:c>
      <x:c r="E1372" s="26" t="n">
        <x:v>46094.01</x:v>
      </x:c>
      <x:c r="F1372" t="n">
        <x:v>0</x:v>
      </x:c>
      <x:c r="G1372" s="25" t="n">
        <x:v>0.098805</x:v>
      </x:c>
      <x:c r="H1372" t="n">
        <x:f>IF(G1372&lt;$B$6,1,0)</x:f>
        <x:v>1</x:v>
      </x:c>
      <x:c r="I1372" s="26" t="n">
        <x:f>H1372*IF(F1372=0,E1372*$B$7,-E1372*$B$8)</x:f>
        <x:v>5531.2812</x:v>
      </x:c>
    </x:row>
    <x:row r="1373">
      <x:c r="A1373" t="n">
        <x:v>3741</x:v>
      </x:c>
      <x:c r="B1373" t="str">
        <x:v>2024-10</x:v>
      </x:c>
      <x:c r="C1373" t="str">
        <x:v>Salaried</x:v>
      </x:c>
      <x:c r="D1373" t="str">
        <x:v>Group A</x:v>
      </x:c>
      <x:c r="E1373" s="26" t="n">
        <x:v>20068.22</x:v>
      </x:c>
      <x:c r="F1373" t="n">
        <x:v>0</x:v>
      </x:c>
      <x:c r="G1373" s="25" t="n">
        <x:v>0.045489</x:v>
      </x:c>
      <x:c r="H1373" t="n">
        <x:f>IF(G1373&lt;$B$6,1,0)</x:f>
        <x:v>1</x:v>
      </x:c>
      <x:c r="I1373" s="26" t="n">
        <x:f>H1373*IF(F1373=0,E1373*$B$7,-E1373*$B$8)</x:f>
        <x:v>2408.1864</x:v>
      </x:c>
    </x:row>
    <x:row r="1374">
      <x:c r="A1374" t="n">
        <x:v>3784</x:v>
      </x:c>
      <x:c r="B1374" t="str">
        <x:v>2024-10</x:v>
      </x:c>
      <x:c r="C1374" t="str">
        <x:v>Salaried</x:v>
      </x:c>
      <x:c r="D1374" t="str">
        <x:v>Group A</x:v>
      </x:c>
      <x:c r="E1374" s="26" t="n">
        <x:v>11639.28</x:v>
      </x:c>
      <x:c r="F1374" t="n">
        <x:v>0</x:v>
      </x:c>
      <x:c r="G1374" s="25" t="n">
        <x:v>0.463117</x:v>
      </x:c>
      <x:c r="H1374" t="n">
        <x:f>IF(G1374&lt;$B$6,1,0)</x:f>
        <x:v>0</x:v>
      </x:c>
      <x:c r="I1374" s="26" t="n">
        <x:f>H1374*IF(F1374=0,E1374*$B$7,-E1374*$B$8)</x:f>
        <x:v>0</x:v>
      </x:c>
    </x:row>
    <x:row r="1375">
      <x:c r="A1375" t="n">
        <x:v>3799</x:v>
      </x:c>
      <x:c r="B1375" t="str">
        <x:v>2024-10</x:v>
      </x:c>
      <x:c r="C1375" t="str">
        <x:v>Salaried</x:v>
      </x:c>
      <x:c r="D1375" t="str">
        <x:v>Group B</x:v>
      </x:c>
      <x:c r="E1375" s="26" t="n">
        <x:v>13492.72</x:v>
      </x:c>
      <x:c r="F1375" t="n">
        <x:v>1</x:v>
      </x:c>
      <x:c r="G1375" s="25" t="n">
        <x:v>0.43957</x:v>
      </x:c>
      <x:c r="H1375" t="n">
        <x:f>IF(G1375&lt;$B$6,1,0)</x:f>
        <x:v>0</x:v>
      </x:c>
      <x:c r="I1375" s="26" t="n">
        <x:f>H1375*IF(F1375=0,E1375*$B$7,-E1375*$B$8)</x:f>
        <x:v>0</x:v>
      </x:c>
    </x:row>
    <x:row r="1376">
      <x:c r="A1376" t="n">
        <x:v>3806</x:v>
      </x:c>
      <x:c r="B1376" t="str">
        <x:v>2024-10</x:v>
      </x:c>
      <x:c r="C1376" t="str">
        <x:v>Salaried</x:v>
      </x:c>
      <x:c r="D1376" t="str">
        <x:v>Group A</x:v>
      </x:c>
      <x:c r="E1376" s="26" t="n">
        <x:v>17184.35</x:v>
      </x:c>
      <x:c r="F1376" t="n">
        <x:v>0</x:v>
      </x:c>
      <x:c r="G1376" s="25" t="n">
        <x:v>0.061589</x:v>
      </x:c>
      <x:c r="H1376" t="n">
        <x:f>IF(G1376&lt;$B$6,1,0)</x:f>
        <x:v>1</x:v>
      </x:c>
      <x:c r="I1376" s="26" t="n">
        <x:f>H1376*IF(F1376=0,E1376*$B$7,-E1376*$B$8)</x:f>
        <x:v>2062.122</x:v>
      </x:c>
    </x:row>
    <x:row r="1377">
      <x:c r="A1377" t="n">
        <x:v>3808</x:v>
      </x:c>
      <x:c r="B1377" t="str">
        <x:v>2024-10</x:v>
      </x:c>
      <x:c r="C1377" t="str">
        <x:v>Salaried</x:v>
      </x:c>
      <x:c r="D1377" t="str">
        <x:v>Group A</x:v>
      </x:c>
      <x:c r="E1377" s="26" t="n">
        <x:v>14937.3</x:v>
      </x:c>
      <x:c r="F1377" t="n">
        <x:v>1</x:v>
      </x:c>
      <x:c r="G1377" s="25" t="n">
        <x:v>0.04493</x:v>
      </x:c>
      <x:c r="H1377" t="n">
        <x:f>IF(G1377&lt;$B$6,1,0)</x:f>
        <x:v>1</x:v>
      </x:c>
      <x:c r="I1377" s="26" t="n">
        <x:f>H1377*IF(F1377=0,E1377*$B$7,-E1377*$B$8)</x:f>
        <x:v>-9709.244999999999</x:v>
      </x:c>
    </x:row>
    <x:row r="1378">
      <x:c r="A1378" t="n">
        <x:v>3813</x:v>
      </x:c>
      <x:c r="B1378" t="str">
        <x:v>2024-10</x:v>
      </x:c>
      <x:c r="C1378" t="str">
        <x:v>Self employed</x:v>
      </x:c>
      <x:c r="D1378" t="str">
        <x:v>Group A</x:v>
      </x:c>
      <x:c r="E1378" s="26" t="n">
        <x:v>14306.8</x:v>
      </x:c>
      <x:c r="F1378" t="n">
        <x:v>1</x:v>
      </x:c>
      <x:c r="G1378" s="25" t="n">
        <x:v>0.275076</x:v>
      </x:c>
      <x:c r="H1378" t="n">
        <x:f>IF(G1378&lt;$B$6,1,0)</x:f>
        <x:v>0</x:v>
      </x:c>
      <x:c r="I1378" s="26" t="n">
        <x:f>H1378*IF(F1378=0,E1378*$B$7,-E1378*$B$8)</x:f>
        <x:v>0</x:v>
      </x:c>
    </x:row>
    <x:row r="1379">
      <x:c r="A1379" t="n">
        <x:v>3895</x:v>
      </x:c>
      <x:c r="B1379" t="str">
        <x:v>2024-10</x:v>
      </x:c>
      <x:c r="C1379" t="str">
        <x:v>Salaried</x:v>
      </x:c>
      <x:c r="D1379" t="str">
        <x:v>Group B</x:v>
      </x:c>
      <x:c r="E1379" s="26" t="n">
        <x:v>8368.77</x:v>
      </x:c>
      <x:c r="F1379" t="n">
        <x:v>1</x:v>
      </x:c>
      <x:c r="G1379" s="25" t="n">
        <x:v>0.195151</x:v>
      </x:c>
      <x:c r="H1379" t="n">
        <x:f>IF(G1379&lt;$B$6,1,0)</x:f>
        <x:v>0</x:v>
      </x:c>
      <x:c r="I1379" s="26" t="n">
        <x:f>H1379*IF(F1379=0,E1379*$B$7,-E1379*$B$8)</x:f>
        <x:v>0</x:v>
      </x:c>
    </x:row>
    <x:row r="1380">
      <x:c r="A1380" t="n">
        <x:v>3898</x:v>
      </x:c>
      <x:c r="B1380" t="str">
        <x:v>2024-10</x:v>
      </x:c>
      <x:c r="C1380" t="str">
        <x:v>Salaried</x:v>
      </x:c>
      <x:c r="D1380" t="str">
        <x:v>Group A</x:v>
      </x:c>
      <x:c r="E1380" s="26" t="n">
        <x:v>10078.47</x:v>
      </x:c>
      <x:c r="F1380" t="n">
        <x:v>0</x:v>
      </x:c>
      <x:c r="G1380" s="25" t="n">
        <x:v>0.141224</x:v>
      </x:c>
      <x:c r="H1380" t="n">
        <x:f>IF(G1380&lt;$B$6,1,0)</x:f>
        <x:v>1</x:v>
      </x:c>
      <x:c r="I1380" s="26" t="n">
        <x:f>H1380*IF(F1380=0,E1380*$B$7,-E1380*$B$8)</x:f>
        <x:v>1209.4163999999998</x:v>
      </x:c>
    </x:row>
    <x:row r="1381">
      <x:c r="A1381" t="n">
        <x:v>3921</x:v>
      </x:c>
      <x:c r="B1381" t="str">
        <x:v>2024-10</x:v>
      </x:c>
      <x:c r="C1381" t="str">
        <x:v>Salaried</x:v>
      </x:c>
      <x:c r="D1381" t="str">
        <x:v>Group B</x:v>
      </x:c>
      <x:c r="E1381" s="26" t="n">
        <x:v>2898.56</x:v>
      </x:c>
      <x:c r="F1381" t="n">
        <x:v>0</x:v>
      </x:c>
      <x:c r="G1381" s="25" t="n">
        <x:v>0.032716</x:v>
      </x:c>
      <x:c r="H1381" t="n">
        <x:f>IF(G1381&lt;$B$6,1,0)</x:f>
        <x:v>1</x:v>
      </x:c>
      <x:c r="I1381" s="26" t="n">
        <x:f>H1381*IF(F1381=0,E1381*$B$7,-E1381*$B$8)</x:f>
        <x:v>347.8272</x:v>
      </x:c>
    </x:row>
    <x:row r="1382">
      <x:c r="A1382" t="n">
        <x:v>3937</x:v>
      </x:c>
      <x:c r="B1382" t="str">
        <x:v>2024-10</x:v>
      </x:c>
      <x:c r="C1382" t="str">
        <x:v>Contract</x:v>
      </x:c>
      <x:c r="D1382" t="str">
        <x:v>Group A</x:v>
      </x:c>
      <x:c r="E1382" s="26" t="n">
        <x:v>7388.35</x:v>
      </x:c>
      <x:c r="F1382" t="n">
        <x:v>1</x:v>
      </x:c>
      <x:c r="G1382" s="25" t="n">
        <x:v>0.835703</x:v>
      </x:c>
      <x:c r="H1382" t="n">
        <x:f>IF(G1382&lt;$B$6,1,0)</x:f>
        <x:v>0</x:v>
      </x:c>
      <x:c r="I1382" s="26" t="n">
        <x:f>H1382*IF(F1382=0,E1382*$B$7,-E1382*$B$8)</x:f>
        <x:v>0</x:v>
      </x:c>
    </x:row>
    <x:row r="1383">
      <x:c r="A1383" t="n">
        <x:v>3942</x:v>
      </x:c>
      <x:c r="B1383" t="str">
        <x:v>2024-10</x:v>
      </x:c>
      <x:c r="C1383" t="str">
        <x:v>Salaried</x:v>
      </x:c>
      <x:c r="D1383" t="str">
        <x:v>Group A</x:v>
      </x:c>
      <x:c r="E1383" s="26" t="n">
        <x:v>8869.33</x:v>
      </x:c>
      <x:c r="F1383" t="n">
        <x:v>0</x:v>
      </x:c>
      <x:c r="G1383" s="25" t="n">
        <x:v>0.09992</x:v>
      </x:c>
      <x:c r="H1383" t="n">
        <x:f>IF(G1383&lt;$B$6,1,0)</x:f>
        <x:v>1</x:v>
      </x:c>
      <x:c r="I1383" s="26" t="n">
        <x:f>H1383*IF(F1383=0,E1383*$B$7,-E1383*$B$8)</x:f>
        <x:v>1064.3196</x:v>
      </x:c>
    </x:row>
    <x:row r="1384">
      <x:c r="A1384" t="n">
        <x:v>3949</x:v>
      </x:c>
      <x:c r="B1384" t="str">
        <x:v>2024-10</x:v>
      </x:c>
      <x:c r="C1384" t="str">
        <x:v>Salaried</x:v>
      </x:c>
      <x:c r="D1384" t="str">
        <x:v>Group A</x:v>
      </x:c>
      <x:c r="E1384" s="26" t="n">
        <x:v>8166.86</x:v>
      </x:c>
      <x:c r="F1384" t="n">
        <x:v>0</x:v>
      </x:c>
      <x:c r="G1384" s="25" t="n">
        <x:v>0.41376</x:v>
      </x:c>
      <x:c r="H1384" t="n">
        <x:f>IF(G1384&lt;$B$6,1,0)</x:f>
        <x:v>0</x:v>
      </x:c>
      <x:c r="I1384" s="26" t="n">
        <x:f>H1384*IF(F1384=0,E1384*$B$7,-E1384*$B$8)</x:f>
        <x:v>0</x:v>
      </x:c>
    </x:row>
    <x:row r="1385">
      <x:c r="A1385" t="n">
        <x:v>3962</x:v>
      </x:c>
      <x:c r="B1385" t="str">
        <x:v>2024-10</x:v>
      </x:c>
      <x:c r="C1385" t="str">
        <x:v>Salaried</x:v>
      </x:c>
      <x:c r="D1385" t="str">
        <x:v>Group A</x:v>
      </x:c>
      <x:c r="E1385" s="26" t="n">
        <x:v>16407.69</x:v>
      </x:c>
      <x:c r="F1385" t="n">
        <x:v>0</x:v>
      </x:c>
      <x:c r="G1385" s="25" t="n">
        <x:v>0.144765</x:v>
      </x:c>
      <x:c r="H1385" t="n">
        <x:f>IF(G1385&lt;$B$6,1,0)</x:f>
        <x:v>1</x:v>
      </x:c>
      <x:c r="I1385" s="26" t="n">
        <x:f>H1385*IF(F1385=0,E1385*$B$7,-E1385*$B$8)</x:f>
        <x:v>1968.9227999999998</x:v>
      </x:c>
    </x:row>
    <x:row r="1386">
      <x:c r="A1386" t="n">
        <x:v>3991</x:v>
      </x:c>
      <x:c r="B1386" t="str">
        <x:v>2024-10</x:v>
      </x:c>
      <x:c r="C1386" t="str">
        <x:v>Self employed</x:v>
      </x:c>
      <x:c r="D1386" t="str">
        <x:v>Group A</x:v>
      </x:c>
      <x:c r="E1386" s="26" t="n">
        <x:v>11555.59</x:v>
      </x:c>
      <x:c r="F1386" t="n">
        <x:v>0</x:v>
      </x:c>
      <x:c r="G1386" s="25" t="n">
        <x:v>0.087151</x:v>
      </x:c>
      <x:c r="H1386" t="n">
        <x:f>IF(G1386&lt;$B$6,1,0)</x:f>
        <x:v>1</x:v>
      </x:c>
      <x:c r="I1386" s="26" t="n">
        <x:f>H1386*IF(F1386=0,E1386*$B$7,-E1386*$B$8)</x:f>
        <x:v>1386.6707999999999</x:v>
      </x:c>
    </x:row>
    <x:row r="1387">
      <x:c r="A1387" t="n">
        <x:v>4038</x:v>
      </x:c>
      <x:c r="B1387" t="str">
        <x:v>2024-10</x:v>
      </x:c>
      <x:c r="C1387" t="str">
        <x:v>Contract</x:v>
      </x:c>
      <x:c r="D1387" t="str">
        <x:v>Group A</x:v>
      </x:c>
      <x:c r="E1387" s="26" t="n">
        <x:v>17393.8</x:v>
      </x:c>
      <x:c r="F1387" t="n">
        <x:v>0</x:v>
      </x:c>
      <x:c r="G1387" s="25" t="n">
        <x:v>0.259594</x:v>
      </x:c>
      <x:c r="H1387" t="n">
        <x:f>IF(G1387&lt;$B$6,1,0)</x:f>
        <x:v>0</x:v>
      </x:c>
      <x:c r="I1387" s="26" t="n">
        <x:f>H1387*IF(F1387=0,E1387*$B$7,-E1387*$B$8)</x:f>
        <x:v>0</x:v>
      </x:c>
    </x:row>
    <x:row r="1388">
      <x:c r="A1388" t="n">
        <x:v>4039</x:v>
      </x:c>
      <x:c r="B1388" t="str">
        <x:v>2024-10</x:v>
      </x:c>
      <x:c r="C1388" t="str">
        <x:v>Salaried</x:v>
      </x:c>
      <x:c r="D1388" t="str">
        <x:v>Group A</x:v>
      </x:c>
      <x:c r="E1388" s="26" t="n">
        <x:v>13818.46</x:v>
      </x:c>
      <x:c r="F1388" t="n">
        <x:v>1</x:v>
      </x:c>
      <x:c r="G1388" s="25" t="n">
        <x:v>0.439754</x:v>
      </x:c>
      <x:c r="H1388" t="n">
        <x:f>IF(G1388&lt;$B$6,1,0)</x:f>
        <x:v>0</x:v>
      </x:c>
      <x:c r="I1388" s="26" t="n">
        <x:f>H1388*IF(F1388=0,E1388*$B$7,-E1388*$B$8)</x:f>
        <x:v>0</x:v>
      </x:c>
    </x:row>
    <x:row r="1389">
      <x:c r="A1389" t="n">
        <x:v>4072</x:v>
      </x:c>
      <x:c r="B1389" t="str">
        <x:v>2024-10</x:v>
      </x:c>
      <x:c r="C1389" t="str">
        <x:v>Salaried</x:v>
      </x:c>
      <x:c r="D1389" t="str">
        <x:v>Group A</x:v>
      </x:c>
      <x:c r="E1389" s="26" t="n">
        <x:v>16405.83</x:v>
      </x:c>
      <x:c r="F1389" t="n">
        <x:v>0</x:v>
      </x:c>
      <x:c r="G1389" s="25" t="n">
        <x:v>0.393467</x:v>
      </x:c>
      <x:c r="H1389" t="n">
        <x:f>IF(G1389&lt;$B$6,1,0)</x:f>
        <x:v>0</x:v>
      </x:c>
      <x:c r="I1389" s="26" t="n">
        <x:f>H1389*IF(F1389=0,E1389*$B$7,-E1389*$B$8)</x:f>
        <x:v>0</x:v>
      </x:c>
    </x:row>
    <x:row r="1390">
      <x:c r="A1390" t="n">
        <x:v>4073</x:v>
      </x:c>
      <x:c r="B1390" t="str">
        <x:v>2024-10</x:v>
      </x:c>
      <x:c r="C1390" t="str">
        <x:v>Salaried</x:v>
      </x:c>
      <x:c r="D1390" t="str">
        <x:v>Group B</x:v>
      </x:c>
      <x:c r="E1390" s="26" t="n">
        <x:v>16412.92</x:v>
      </x:c>
      <x:c r="F1390" t="n">
        <x:v>0</x:v>
      </x:c>
      <x:c r="G1390" s="25" t="n">
        <x:v>0.28768</x:v>
      </x:c>
      <x:c r="H1390" t="n">
        <x:f>IF(G1390&lt;$B$6,1,0)</x:f>
        <x:v>0</x:v>
      </x:c>
      <x:c r="I1390" s="26" t="n">
        <x:f>H1390*IF(F1390=0,E1390*$B$7,-E1390*$B$8)</x:f>
        <x:v>0</x:v>
      </x:c>
    </x:row>
    <x:row r="1391">
      <x:c r="A1391" t="n">
        <x:v>4102</x:v>
      </x:c>
      <x:c r="B1391" t="str">
        <x:v>2024-10</x:v>
      </x:c>
      <x:c r="C1391" t="str">
        <x:v>Salaried</x:v>
      </x:c>
      <x:c r="D1391" t="str">
        <x:v>Group A</x:v>
      </x:c>
      <x:c r="E1391" s="26" t="n">
        <x:v>31557.7</x:v>
      </x:c>
      <x:c r="F1391" t="n">
        <x:v>1</x:v>
      </x:c>
      <x:c r="G1391" s="25" t="n">
        <x:v>0.354472</x:v>
      </x:c>
      <x:c r="H1391" t="n">
        <x:f>IF(G1391&lt;$B$6,1,0)</x:f>
        <x:v>0</x:v>
      </x:c>
      <x:c r="I1391" s="26" t="n">
        <x:f>H1391*IF(F1391=0,E1391*$B$7,-E1391*$B$8)</x:f>
        <x:v>0</x:v>
      </x:c>
    </x:row>
    <x:row r="1392">
      <x:c r="A1392" t="n">
        <x:v>4129</x:v>
      </x:c>
      <x:c r="B1392" t="str">
        <x:v>2024-10</x:v>
      </x:c>
      <x:c r="C1392" t="str">
        <x:v>Salaried</x:v>
      </x:c>
      <x:c r="D1392" t="str">
        <x:v>Group B</x:v>
      </x:c>
      <x:c r="E1392" s="26" t="n">
        <x:v>29436.04</x:v>
      </x:c>
      <x:c r="F1392" t="n">
        <x:v>1</x:v>
      </x:c>
      <x:c r="G1392" s="25" t="n">
        <x:v>0.453387</x:v>
      </x:c>
      <x:c r="H1392" t="n">
        <x:f>IF(G1392&lt;$B$6,1,0)</x:f>
        <x:v>0</x:v>
      </x:c>
      <x:c r="I1392" s="26" t="n">
        <x:f>H1392*IF(F1392=0,E1392*$B$7,-E1392*$B$8)</x:f>
        <x:v>0</x:v>
      </x:c>
    </x:row>
    <x:row r="1393">
      <x:c r="A1393" t="n">
        <x:v>4185</x:v>
      </x:c>
      <x:c r="B1393" t="str">
        <x:v>2024-10</x:v>
      </x:c>
      <x:c r="C1393" t="str">
        <x:v>Self employed</x:v>
      </x:c>
      <x:c r="D1393" t="str">
        <x:v>Group B</x:v>
      </x:c>
      <x:c r="E1393" s="26" t="n">
        <x:v>19049.83</x:v>
      </x:c>
      <x:c r="F1393" t="n">
        <x:v>0</x:v>
      </x:c>
      <x:c r="G1393" s="25" t="n">
        <x:v>0.03445</x:v>
      </x:c>
      <x:c r="H1393" t="n">
        <x:f>IF(G1393&lt;$B$6,1,0)</x:f>
        <x:v>1</x:v>
      </x:c>
      <x:c r="I1393" s="26" t="n">
        <x:f>H1393*IF(F1393=0,E1393*$B$7,-E1393*$B$8)</x:f>
        <x:v>2285.9796</x:v>
      </x:c>
    </x:row>
    <x:row r="1394">
      <x:c r="A1394" t="n">
        <x:v>4186</x:v>
      </x:c>
      <x:c r="B1394" t="str">
        <x:v>2024-10</x:v>
      </x:c>
      <x:c r="C1394" t="str">
        <x:v>Salaried</x:v>
      </x:c>
      <x:c r="D1394" t="str">
        <x:v>Group A</x:v>
      </x:c>
      <x:c r="E1394" s="26" t="n">
        <x:v>25584.94</x:v>
      </x:c>
      <x:c r="F1394" t="n">
        <x:v>1</x:v>
      </x:c>
      <x:c r="G1394" s="25" t="n">
        <x:v>0.642262</x:v>
      </x:c>
      <x:c r="H1394" t="n">
        <x:f>IF(G1394&lt;$B$6,1,0)</x:f>
        <x:v>0</x:v>
      </x:c>
      <x:c r="I1394" s="26" t="n">
        <x:f>H1394*IF(F1394=0,E1394*$B$7,-E1394*$B$8)</x:f>
        <x:v>0</x:v>
      </x:c>
    </x:row>
    <x:row r="1395">
      <x:c r="A1395" t="n">
        <x:v>4197</x:v>
      </x:c>
      <x:c r="B1395" t="str">
        <x:v>2024-10</x:v>
      </x:c>
      <x:c r="C1395" t="str">
        <x:v>Salaried</x:v>
      </x:c>
      <x:c r="D1395" t="str">
        <x:v>Group B</x:v>
      </x:c>
      <x:c r="E1395" s="26" t="n">
        <x:v>13082.67</x:v>
      </x:c>
      <x:c r="F1395" t="n">
        <x:v>0</x:v>
      </x:c>
      <x:c r="G1395" s="25" t="n">
        <x:v>0.24331</x:v>
      </x:c>
      <x:c r="H1395" t="n">
        <x:f>IF(G1395&lt;$B$6,1,0)</x:f>
        <x:v>0</x:v>
      </x:c>
      <x:c r="I1395" s="26" t="n">
        <x:f>H1395*IF(F1395=0,E1395*$B$7,-E1395*$B$8)</x:f>
        <x:v>0</x:v>
      </x:c>
    </x:row>
    <x:row r="1396">
      <x:c r="A1396" t="n">
        <x:v>4201</x:v>
      </x:c>
      <x:c r="B1396" t="str">
        <x:v>2024-10</x:v>
      </x:c>
      <x:c r="C1396" t="str">
        <x:v>Self employed</x:v>
      </x:c>
      <x:c r="D1396" t="str">
        <x:v>Group B</x:v>
      </x:c>
      <x:c r="E1396" s="26" t="n">
        <x:v>7660.49</x:v>
      </x:c>
      <x:c r="F1396" t="n">
        <x:v>0</x:v>
      </x:c>
      <x:c r="G1396" s="25" t="n">
        <x:v>0.216124</x:v>
      </x:c>
      <x:c r="H1396" t="n">
        <x:f>IF(G1396&lt;$B$6,1,0)</x:f>
        <x:v>0</x:v>
      </x:c>
      <x:c r="I1396" s="26" t="n">
        <x:f>H1396*IF(F1396=0,E1396*$B$7,-E1396*$B$8)</x:f>
        <x:v>0</x:v>
      </x:c>
    </x:row>
    <x:row r="1397">
      <x:c r="A1397" t="n">
        <x:v>4242</x:v>
      </x:c>
      <x:c r="B1397" t="str">
        <x:v>2024-10</x:v>
      </x:c>
      <x:c r="C1397" t="str">
        <x:v>Self employed</x:v>
      </x:c>
      <x:c r="D1397" t="str">
        <x:v>Group A</x:v>
      </x:c>
      <x:c r="E1397" s="26" t="n">
        <x:v>11665.66</x:v>
      </x:c>
      <x:c r="F1397" t="n">
        <x:v>0</x:v>
      </x:c>
      <x:c r="G1397" s="25" t="n">
        <x:v>0.284429</x:v>
      </x:c>
      <x:c r="H1397" t="n">
        <x:f>IF(G1397&lt;$B$6,1,0)</x:f>
        <x:v>0</x:v>
      </x:c>
      <x:c r="I1397" s="26" t="n">
        <x:f>H1397*IF(F1397=0,E1397*$B$7,-E1397*$B$8)</x:f>
        <x:v>0</x:v>
      </x:c>
    </x:row>
    <x:row r="1398">
      <x:c r="A1398" t="n">
        <x:v>4256</x:v>
      </x:c>
      <x:c r="B1398" t="str">
        <x:v>2024-10</x:v>
      </x:c>
      <x:c r="C1398" t="str">
        <x:v>Contract</x:v>
      </x:c>
      <x:c r="D1398" t="str">
        <x:v>Group A</x:v>
      </x:c>
      <x:c r="E1398" s="26" t="n">
        <x:v>10754.27</x:v>
      </x:c>
      <x:c r="F1398" t="n">
        <x:v>1</x:v>
      </x:c>
      <x:c r="G1398" s="25" t="n">
        <x:v>0.245944</x:v>
      </x:c>
      <x:c r="H1398" t="n">
        <x:f>IF(G1398&lt;$B$6,1,0)</x:f>
        <x:v>0</x:v>
      </x:c>
      <x:c r="I1398" s="26" t="n">
        <x:f>H1398*IF(F1398=0,E1398*$B$7,-E1398*$B$8)</x:f>
        <x:v>0</x:v>
      </x:c>
    </x:row>
    <x:row r="1399">
      <x:c r="A1399" t="n">
        <x:v>4265</x:v>
      </x:c>
      <x:c r="B1399" t="str">
        <x:v>2024-10</x:v>
      </x:c>
      <x:c r="C1399" t="str">
        <x:v>Salaried</x:v>
      </x:c>
      <x:c r="D1399" t="str">
        <x:v>Group A</x:v>
      </x:c>
      <x:c r="E1399" s="26" t="n">
        <x:v>12545.53</x:v>
      </x:c>
      <x:c r="F1399" t="n">
        <x:v>0</x:v>
      </x:c>
      <x:c r="G1399" s="25" t="n">
        <x:v>0.109457</x:v>
      </x:c>
      <x:c r="H1399" t="n">
        <x:f>IF(G1399&lt;$B$6,1,0)</x:f>
        <x:v>1</x:v>
      </x:c>
      <x:c r="I1399" s="26" t="n">
        <x:f>H1399*IF(F1399=0,E1399*$B$7,-E1399*$B$8)</x:f>
        <x:v>1505.4636</x:v>
      </x:c>
    </x:row>
    <x:row r="1400">
      <x:c r="A1400" t="n">
        <x:v>4338</x:v>
      </x:c>
      <x:c r="B1400" t="str">
        <x:v>2024-10</x:v>
      </x:c>
      <x:c r="C1400" t="str">
        <x:v>Salaried</x:v>
      </x:c>
      <x:c r="D1400" t="str">
        <x:v>Group A</x:v>
      </x:c>
      <x:c r="E1400" s="26" t="n">
        <x:v>24099.58</x:v>
      </x:c>
      <x:c r="F1400" t="n">
        <x:v>1</x:v>
      </x:c>
      <x:c r="G1400" s="25" t="n">
        <x:v>0.472411</x:v>
      </x:c>
      <x:c r="H1400" t="n">
        <x:f>IF(G1400&lt;$B$6,1,0)</x:f>
        <x:v>0</x:v>
      </x:c>
      <x:c r="I1400" s="26" t="n">
        <x:f>H1400*IF(F1400=0,E1400*$B$7,-E1400*$B$8)</x:f>
        <x:v>0</x:v>
      </x:c>
    </x:row>
    <x:row r="1401">
      <x:c r="A1401" t="n">
        <x:v>4367</x:v>
      </x:c>
      <x:c r="B1401" t="str">
        <x:v>2024-10</x:v>
      </x:c>
      <x:c r="C1401" t="str">
        <x:v>Salaried</x:v>
      </x:c>
      <x:c r="D1401" t="str">
        <x:v>Group B</x:v>
      </x:c>
      <x:c r="E1401" s="26" t="n">
        <x:v>31481.56</x:v>
      </x:c>
      <x:c r="F1401" t="n">
        <x:v>0</x:v>
      </x:c>
      <x:c r="G1401" s="25" t="n">
        <x:v>0.083924</x:v>
      </x:c>
      <x:c r="H1401" t="n">
        <x:f>IF(G1401&lt;$B$6,1,0)</x:f>
        <x:v>1</x:v>
      </x:c>
      <x:c r="I1401" s="26" t="n">
        <x:f>H1401*IF(F1401=0,E1401*$B$7,-E1401*$B$8)</x:f>
        <x:v>3777.7872</x:v>
      </x:c>
    </x:row>
    <x:row r="1402">
      <x:c r="A1402" t="n">
        <x:v>4401</x:v>
      </x:c>
      <x:c r="B1402" t="str">
        <x:v>2024-10</x:v>
      </x:c>
      <x:c r="C1402" t="str">
        <x:v>Salaried</x:v>
      </x:c>
      <x:c r="D1402" t="str">
        <x:v>Group A</x:v>
      </x:c>
      <x:c r="E1402" s="26" t="n">
        <x:v>17549.61</x:v>
      </x:c>
      <x:c r="F1402" t="n">
        <x:v>0</x:v>
      </x:c>
      <x:c r="G1402" s="25" t="n">
        <x:v>0.317234</x:v>
      </x:c>
      <x:c r="H1402" t="n">
        <x:f>IF(G1402&lt;$B$6,1,0)</x:f>
        <x:v>0</x:v>
      </x:c>
      <x:c r="I1402" s="26" t="n">
        <x:f>H1402*IF(F1402=0,E1402*$B$7,-E1402*$B$8)</x:f>
        <x:v>0</x:v>
      </x:c>
    </x:row>
    <x:row r="1403">
      <x:c r="A1403" t="n">
        <x:v>4420</x:v>
      </x:c>
      <x:c r="B1403" t="str">
        <x:v>2024-10</x:v>
      </x:c>
      <x:c r="C1403" t="str">
        <x:v>Salaried</x:v>
      </x:c>
      <x:c r="D1403" t="str">
        <x:v>Group B</x:v>
      </x:c>
      <x:c r="E1403" s="26" t="n">
        <x:v>4230.76</x:v>
      </x:c>
      <x:c r="F1403" t="n">
        <x:v>1</x:v>
      </x:c>
      <x:c r="G1403" s="25" t="n">
        <x:v>0.43654</x:v>
      </x:c>
      <x:c r="H1403" t="n">
        <x:f>IF(G1403&lt;$B$6,1,0)</x:f>
        <x:v>0</x:v>
      </x:c>
      <x:c r="I1403" s="26" t="n">
        <x:f>H1403*IF(F1403=0,E1403*$B$7,-E1403*$B$8)</x:f>
        <x:v>0</x:v>
      </x:c>
    </x:row>
    <x:row r="1404">
      <x:c r="A1404" t="n">
        <x:v>4437</x:v>
      </x:c>
      <x:c r="B1404" t="str">
        <x:v>2024-10</x:v>
      </x:c>
      <x:c r="C1404" t="str">
        <x:v>Salaried</x:v>
      </x:c>
      <x:c r="D1404" t="str">
        <x:v>Group B</x:v>
      </x:c>
      <x:c r="E1404" s="26" t="n">
        <x:v>24182.76</x:v>
      </x:c>
      <x:c r="F1404" t="n">
        <x:v>0</x:v>
      </x:c>
      <x:c r="G1404" s="25" t="n">
        <x:v>0.808741</x:v>
      </x:c>
      <x:c r="H1404" t="n">
        <x:f>IF(G1404&lt;$B$6,1,0)</x:f>
        <x:v>0</x:v>
      </x:c>
      <x:c r="I1404" s="26" t="n">
        <x:f>H1404*IF(F1404=0,E1404*$B$7,-E1404*$B$8)</x:f>
        <x:v>0</x:v>
      </x:c>
    </x:row>
    <x:row r="1405">
      <x:c r="A1405" t="n">
        <x:v>4533</x:v>
      </x:c>
      <x:c r="B1405" t="str">
        <x:v>2024-10</x:v>
      </x:c>
      <x:c r="C1405" t="str">
        <x:v>Self employed</x:v>
      </x:c>
      <x:c r="D1405" t="str">
        <x:v>Group B</x:v>
      </x:c>
      <x:c r="E1405" s="26" t="n">
        <x:v>5127.74</x:v>
      </x:c>
      <x:c r="F1405" t="n">
        <x:v>0</x:v>
      </x:c>
      <x:c r="G1405" s="25" t="n">
        <x:v>0.347432</x:v>
      </x:c>
      <x:c r="H1405" t="n">
        <x:f>IF(G1405&lt;$B$6,1,0)</x:f>
        <x:v>0</x:v>
      </x:c>
      <x:c r="I1405" s="26" t="n">
        <x:f>H1405*IF(F1405=0,E1405*$B$7,-E1405*$B$8)</x:f>
        <x:v>0</x:v>
      </x:c>
    </x:row>
    <x:row r="1406">
      <x:c r="A1406" t="n">
        <x:v>4536</x:v>
      </x:c>
      <x:c r="B1406" t="str">
        <x:v>2024-10</x:v>
      </x:c>
      <x:c r="C1406" t="str">
        <x:v>Salaried</x:v>
      </x:c>
      <x:c r="D1406" t="str">
        <x:v>Group A</x:v>
      </x:c>
      <x:c r="E1406" s="26" t="n">
        <x:v>7412.49</x:v>
      </x:c>
      <x:c r="F1406" t="n">
        <x:v>0</x:v>
      </x:c>
      <x:c r="G1406" s="25" t="n">
        <x:v>0.187478</x:v>
      </x:c>
      <x:c r="H1406" t="n">
        <x:f>IF(G1406&lt;$B$6,1,0)</x:f>
        <x:v>0</x:v>
      </x:c>
      <x:c r="I1406" s="26" t="n">
        <x:f>H1406*IF(F1406=0,E1406*$B$7,-E1406*$B$8)</x:f>
        <x:v>0</x:v>
      </x:c>
    </x:row>
    <x:row r="1407">
      <x:c r="A1407" t="n">
        <x:v>4550</x:v>
      </x:c>
      <x:c r="B1407" t="str">
        <x:v>2024-10</x:v>
      </x:c>
      <x:c r="C1407" t="str">
        <x:v>Salaried</x:v>
      </x:c>
      <x:c r="D1407" t="str">
        <x:v>Group A</x:v>
      </x:c>
      <x:c r="E1407" s="26" t="n">
        <x:v>15256.98</x:v>
      </x:c>
      <x:c r="F1407" t="n">
        <x:v>1</x:v>
      </x:c>
      <x:c r="G1407" s="25" t="n">
        <x:v>0.183733</x:v>
      </x:c>
      <x:c r="H1407" t="n">
        <x:f>IF(G1407&lt;$B$6,1,0)</x:f>
        <x:v>0</x:v>
      </x:c>
      <x:c r="I1407" s="26" t="n">
        <x:f>H1407*IF(F1407=0,E1407*$B$7,-E1407*$B$8)</x:f>
        <x:v>0</x:v>
      </x:c>
    </x:row>
    <x:row r="1408">
      <x:c r="A1408" t="n">
        <x:v>4581</x:v>
      </x:c>
      <x:c r="B1408" t="str">
        <x:v>2024-10</x:v>
      </x:c>
      <x:c r="C1408" t="str">
        <x:v>Salaried</x:v>
      </x:c>
      <x:c r="D1408" t="str">
        <x:v>Group A</x:v>
      </x:c>
      <x:c r="E1408" s="26" t="n">
        <x:v>7204.05</x:v>
      </x:c>
      <x:c r="F1408" t="n">
        <x:v>0</x:v>
      </x:c>
      <x:c r="G1408" s="25" t="n">
        <x:v>0.279998</x:v>
      </x:c>
      <x:c r="H1408" t="n">
        <x:f>IF(G1408&lt;$B$6,1,0)</x:f>
        <x:v>0</x:v>
      </x:c>
      <x:c r="I1408" s="26" t="n">
        <x:f>H1408*IF(F1408=0,E1408*$B$7,-E1408*$B$8)</x:f>
        <x:v>0</x:v>
      </x:c>
    </x:row>
    <x:row r="1409">
      <x:c r="A1409" t="n">
        <x:v>4595</x:v>
      </x:c>
      <x:c r="B1409" t="str">
        <x:v>2024-10</x:v>
      </x:c>
      <x:c r="C1409" t="str">
        <x:v>Salaried</x:v>
      </x:c>
      <x:c r="D1409" t="str">
        <x:v>Group B</x:v>
      </x:c>
      <x:c r="E1409" s="26" t="n">
        <x:v>17614.55</x:v>
      </x:c>
      <x:c r="F1409" t="n">
        <x:v>0</x:v>
      </x:c>
      <x:c r="G1409" s="25" t="n">
        <x:v>0.305615</x:v>
      </x:c>
      <x:c r="H1409" t="n">
        <x:f>IF(G1409&lt;$B$6,1,0)</x:f>
        <x:v>0</x:v>
      </x:c>
      <x:c r="I1409" s="26" t="n">
        <x:f>H1409*IF(F1409=0,E1409*$B$7,-E1409*$B$8)</x:f>
        <x:v>0</x:v>
      </x:c>
    </x:row>
    <x:row r="1410">
      <x:c r="A1410" t="n">
        <x:v>4613</x:v>
      </x:c>
      <x:c r="B1410" t="str">
        <x:v>2024-10</x:v>
      </x:c>
      <x:c r="C1410" t="str">
        <x:v>Salaried</x:v>
      </x:c>
      <x:c r="D1410" t="str">
        <x:v>Group B</x:v>
      </x:c>
      <x:c r="E1410" s="26" t="n">
        <x:v>10163.43</x:v>
      </x:c>
      <x:c r="F1410" t="n">
        <x:v>0</x:v>
      </x:c>
      <x:c r="G1410" s="25" t="n">
        <x:v>0.145</x:v>
      </x:c>
      <x:c r="H1410" t="n">
        <x:f>IF(G1410&lt;$B$6,1,0)</x:f>
        <x:v>1</x:v>
      </x:c>
      <x:c r="I1410" s="26" t="n">
        <x:f>H1410*IF(F1410=0,E1410*$B$7,-E1410*$B$8)</x:f>
        <x:v>1219.6116</x:v>
      </x:c>
    </x:row>
    <x:row r="1411">
      <x:c r="A1411" t="n">
        <x:v>4614</x:v>
      </x:c>
      <x:c r="B1411" t="str">
        <x:v>2024-10</x:v>
      </x:c>
      <x:c r="C1411" t="str">
        <x:v>Salaried</x:v>
      </x:c>
      <x:c r="D1411" t="str">
        <x:v>Group B</x:v>
      </x:c>
      <x:c r="E1411" s="26" t="n">
        <x:v>48648.76</x:v>
      </x:c>
      <x:c r="F1411" t="n">
        <x:v>1</x:v>
      </x:c>
      <x:c r="G1411" s="25" t="n">
        <x:v>0.124226</x:v>
      </x:c>
      <x:c r="H1411" t="n">
        <x:f>IF(G1411&lt;$B$6,1,0)</x:f>
        <x:v>1</x:v>
      </x:c>
      <x:c r="I1411" s="26" t="n">
        <x:f>H1411*IF(F1411=0,E1411*$B$7,-E1411*$B$8)</x:f>
        <x:v>-31621.694000000003</x:v>
      </x:c>
    </x:row>
    <x:row r="1412">
      <x:c r="A1412" t="n">
        <x:v>4619</x:v>
      </x:c>
      <x:c r="B1412" t="str">
        <x:v>2024-10</x:v>
      </x:c>
      <x:c r="C1412" t="str">
        <x:v>Salaried</x:v>
      </x:c>
      <x:c r="D1412" t="str">
        <x:v>Group A</x:v>
      </x:c>
      <x:c r="E1412" s="26" t="n">
        <x:v>12649.06</x:v>
      </x:c>
      <x:c r="F1412" t="n">
        <x:v>0</x:v>
      </x:c>
      <x:c r="G1412" s="25" t="n">
        <x:v>0.131533</x:v>
      </x:c>
      <x:c r="H1412" t="n">
        <x:f>IF(G1412&lt;$B$6,1,0)</x:f>
        <x:v>1</x:v>
      </x:c>
      <x:c r="I1412" s="26" t="n">
        <x:f>H1412*IF(F1412=0,E1412*$B$7,-E1412*$B$8)</x:f>
        <x:v>1517.8872</x:v>
      </x:c>
    </x:row>
    <x:row r="1413">
      <x:c r="A1413" t="n">
        <x:v>4647</x:v>
      </x:c>
      <x:c r="B1413" t="str">
        <x:v>2024-10</x:v>
      </x:c>
      <x:c r="C1413" t="str">
        <x:v>Self employed</x:v>
      </x:c>
      <x:c r="D1413" t="str">
        <x:v>Group B</x:v>
      </x:c>
      <x:c r="E1413" s="26" t="n">
        <x:v>19837.34</x:v>
      </x:c>
      <x:c r="F1413" t="n">
        <x:v>0</x:v>
      </x:c>
      <x:c r="G1413" s="25" t="n">
        <x:v>0.090234</x:v>
      </x:c>
      <x:c r="H1413" t="n">
        <x:f>IF(G1413&lt;$B$6,1,0)</x:f>
        <x:v>1</x:v>
      </x:c>
      <x:c r="I1413" s="26" t="n">
        <x:f>H1413*IF(F1413=0,E1413*$B$7,-E1413*$B$8)</x:f>
        <x:v>2380.4808</x:v>
      </x:c>
    </x:row>
    <x:row r="1414">
      <x:c r="A1414" t="n">
        <x:v>4649</x:v>
      </x:c>
      <x:c r="B1414" t="str">
        <x:v>2024-10</x:v>
      </x:c>
      <x:c r="C1414" t="str">
        <x:v>Salaried</x:v>
      </x:c>
      <x:c r="D1414" t="str">
        <x:v>Group B</x:v>
      </x:c>
      <x:c r="E1414" s="26" t="n">
        <x:v>8434.56</x:v>
      </x:c>
      <x:c r="F1414" t="n">
        <x:v>0</x:v>
      </x:c>
      <x:c r="G1414" s="25" t="n">
        <x:v>0.087477</x:v>
      </x:c>
      <x:c r="H1414" t="n">
        <x:f>IF(G1414&lt;$B$6,1,0)</x:f>
        <x:v>1</x:v>
      </x:c>
      <x:c r="I1414" s="26" t="n">
        <x:f>H1414*IF(F1414=0,E1414*$B$7,-E1414*$B$8)</x:f>
        <x:v>1012.1471999999999</x:v>
      </x:c>
    </x:row>
    <x:row r="1415">
      <x:c r="A1415" t="n">
        <x:v>4657</x:v>
      </x:c>
      <x:c r="B1415" t="str">
        <x:v>2024-10</x:v>
      </x:c>
      <x:c r="C1415" t="str">
        <x:v>Salaried</x:v>
      </x:c>
      <x:c r="D1415" t="str">
        <x:v>Group A</x:v>
      </x:c>
      <x:c r="E1415" s="26" t="n">
        <x:v>17745.89</x:v>
      </x:c>
      <x:c r="F1415" t="n">
        <x:v>0</x:v>
      </x:c>
      <x:c r="G1415" s="25" t="n">
        <x:v>0.069084</x:v>
      </x:c>
      <x:c r="H1415" t="n">
        <x:f>IF(G1415&lt;$B$6,1,0)</x:f>
        <x:v>1</x:v>
      </x:c>
      <x:c r="I1415" s="26" t="n">
        <x:f>H1415*IF(F1415=0,E1415*$B$7,-E1415*$B$8)</x:f>
        <x:v>2129.5067999999997</x:v>
      </x:c>
    </x:row>
    <x:row r="1416">
      <x:c r="A1416" t="n">
        <x:v>4704</x:v>
      </x:c>
      <x:c r="B1416" t="str">
        <x:v>2024-10</x:v>
      </x:c>
      <x:c r="C1416" t="str">
        <x:v>Salaried</x:v>
      </x:c>
      <x:c r="D1416" t="str">
        <x:v>Group B</x:v>
      </x:c>
      <x:c r="E1416" s="26" t="n">
        <x:v>10570.04</x:v>
      </x:c>
      <x:c r="F1416" t="n">
        <x:v>0</x:v>
      </x:c>
      <x:c r="G1416" s="25" t="n">
        <x:v>0.116078</x:v>
      </x:c>
      <x:c r="H1416" t="n">
        <x:f>IF(G1416&lt;$B$6,1,0)</x:f>
        <x:v>1</x:v>
      </x:c>
      <x:c r="I1416" s="26" t="n">
        <x:f>H1416*IF(F1416=0,E1416*$B$7,-E1416*$B$8)</x:f>
        <x:v>1268.4048</x:v>
      </x:c>
    </x:row>
    <x:row r="1417">
      <x:c r="A1417" t="n">
        <x:v>4765</x:v>
      </x:c>
      <x:c r="B1417" t="str">
        <x:v>2024-10</x:v>
      </x:c>
      <x:c r="C1417" t="str">
        <x:v>Salaried</x:v>
      </x:c>
      <x:c r="D1417" t="str">
        <x:v>Group B</x:v>
      </x:c>
      <x:c r="E1417" s="26" t="n">
        <x:v>9575.19</x:v>
      </x:c>
      <x:c r="F1417" t="n">
        <x:v>0</x:v>
      </x:c>
      <x:c r="G1417" s="25" t="n">
        <x:v>0.202015</x:v>
      </x:c>
      <x:c r="H1417" t="n">
        <x:f>IF(G1417&lt;$B$6,1,0)</x:f>
        <x:v>0</x:v>
      </x:c>
      <x:c r="I1417" s="26" t="n">
        <x:f>H1417*IF(F1417=0,E1417*$B$7,-E1417*$B$8)</x:f>
        <x:v>0</x:v>
      </x:c>
    </x:row>
    <x:row r="1418">
      <x:c r="A1418" t="n">
        <x:v>4781</x:v>
      </x:c>
      <x:c r="B1418" t="str">
        <x:v>2024-10</x:v>
      </x:c>
      <x:c r="C1418" t="str">
        <x:v>Salaried</x:v>
      </x:c>
      <x:c r="D1418" t="str">
        <x:v>Group A</x:v>
      </x:c>
      <x:c r="E1418" s="26" t="n">
        <x:v>10691.05</x:v>
      </x:c>
      <x:c r="F1418" t="n">
        <x:v>1</x:v>
      </x:c>
      <x:c r="G1418" s="25" t="n">
        <x:v>0.264721</x:v>
      </x:c>
      <x:c r="H1418" t="n">
        <x:f>IF(G1418&lt;$B$6,1,0)</x:f>
        <x:v>0</x:v>
      </x:c>
      <x:c r="I1418" s="26" t="n">
        <x:f>H1418*IF(F1418=0,E1418*$B$7,-E1418*$B$8)</x:f>
        <x:v>0</x:v>
      </x:c>
    </x:row>
    <x:row r="1419">
      <x:c r="A1419" t="n">
        <x:v>4797</x:v>
      </x:c>
      <x:c r="B1419" t="str">
        <x:v>2024-10</x:v>
      </x:c>
      <x:c r="C1419" t="str">
        <x:v>Salaried</x:v>
      </x:c>
      <x:c r="D1419" t="str">
        <x:v>Group A</x:v>
      </x:c>
      <x:c r="E1419" s="26" t="n">
        <x:v>10488.65</x:v>
      </x:c>
      <x:c r="F1419" t="n">
        <x:v>0</x:v>
      </x:c>
      <x:c r="G1419" s="25" t="n">
        <x:v>0.180923</x:v>
      </x:c>
      <x:c r="H1419" t="n">
        <x:f>IF(G1419&lt;$B$6,1,0)</x:f>
        <x:v>0</x:v>
      </x:c>
      <x:c r="I1419" s="26" t="n">
        <x:f>H1419*IF(F1419=0,E1419*$B$7,-E1419*$B$8)</x:f>
        <x:v>0</x:v>
      </x:c>
    </x:row>
    <x:row r="1420">
      <x:c r="A1420" t="n">
        <x:v>4804</x:v>
      </x:c>
      <x:c r="B1420" t="str">
        <x:v>2024-10</x:v>
      </x:c>
      <x:c r="C1420" t="str">
        <x:v>Contract</x:v>
      </x:c>
      <x:c r="D1420" t="str">
        <x:v>Group B</x:v>
      </x:c>
      <x:c r="E1420" s="26" t="n">
        <x:v>26024.12</x:v>
      </x:c>
      <x:c r="F1420" t="n">
        <x:v>1</x:v>
      </x:c>
      <x:c r="G1420" s="25" t="n">
        <x:v>0.381899</x:v>
      </x:c>
      <x:c r="H1420" t="n">
        <x:f>IF(G1420&lt;$B$6,1,0)</x:f>
        <x:v>0</x:v>
      </x:c>
      <x:c r="I1420" s="26" t="n">
        <x:f>H1420*IF(F1420=0,E1420*$B$7,-E1420*$B$8)</x:f>
        <x:v>0</x:v>
      </x:c>
    </x:row>
    <x:row r="1421">
      <x:c r="A1421" t="n">
        <x:v>4813</x:v>
      </x:c>
      <x:c r="B1421" t="str">
        <x:v>2024-10</x:v>
      </x:c>
      <x:c r="C1421" t="str">
        <x:v>Self employed</x:v>
      </x:c>
      <x:c r="D1421" t="str">
        <x:v>Group B</x:v>
      </x:c>
      <x:c r="E1421" s="26" t="n">
        <x:v>75000</x:v>
      </x:c>
      <x:c r="F1421" t="n">
        <x:v>0</x:v>
      </x:c>
      <x:c r="G1421" s="25" t="n">
        <x:v>0.608524</x:v>
      </x:c>
      <x:c r="H1421" t="n">
        <x:f>IF(G1421&lt;$B$6,1,0)</x:f>
        <x:v>0</x:v>
      </x:c>
      <x:c r="I1421" s="26" t="n">
        <x:f>H1421*IF(F1421=0,E1421*$B$7,-E1421*$B$8)</x:f>
        <x:v>0</x:v>
      </x:c>
    </x:row>
    <x:row r="1422">
      <x:c r="A1422" t="n">
        <x:v>4843</x:v>
      </x:c>
      <x:c r="B1422" t="str">
        <x:v>2024-10</x:v>
      </x:c>
      <x:c r="C1422" t="str">
        <x:v>Salaried</x:v>
      </x:c>
      <x:c r="D1422" t="str">
        <x:v>Group A</x:v>
      </x:c>
      <x:c r="E1422" s="26" t="n">
        <x:v>6921.85</x:v>
      </x:c>
      <x:c r="F1422" t="n">
        <x:v>0</x:v>
      </x:c>
      <x:c r="G1422" s="25" t="n">
        <x:v>0.028098</x:v>
      </x:c>
      <x:c r="H1422" t="n">
        <x:f>IF(G1422&lt;$B$6,1,0)</x:f>
        <x:v>1</x:v>
      </x:c>
      <x:c r="I1422" s="26" t="n">
        <x:f>H1422*IF(F1422=0,E1422*$B$7,-E1422*$B$8)</x:f>
        <x:v>830.622</x:v>
      </x:c>
    </x:row>
    <x:row r="1423">
      <x:c r="A1423" t="n">
        <x:v>4857</x:v>
      </x:c>
      <x:c r="B1423" t="str">
        <x:v>2024-10</x:v>
      </x:c>
      <x:c r="C1423" t="str">
        <x:v>Self employed</x:v>
      </x:c>
      <x:c r="D1423" t="str">
        <x:v>Group B</x:v>
      </x:c>
      <x:c r="E1423" s="26" t="n">
        <x:v>33094.59</x:v>
      </x:c>
      <x:c r="F1423" t="n">
        <x:v>1</x:v>
      </x:c>
      <x:c r="G1423" s="25" t="n">
        <x:v>0.224577</x:v>
      </x:c>
      <x:c r="H1423" t="n">
        <x:f>IF(G1423&lt;$B$6,1,0)</x:f>
        <x:v>0</x:v>
      </x:c>
      <x:c r="I1423" s="26" t="n">
        <x:f>H1423*IF(F1423=0,E1423*$B$7,-E1423*$B$8)</x:f>
        <x:v>0</x:v>
      </x:c>
    </x:row>
    <x:row r="1424">
      <x:c r="A1424" t="n">
        <x:v>4902</x:v>
      </x:c>
      <x:c r="B1424" t="str">
        <x:v>2024-10</x:v>
      </x:c>
      <x:c r="C1424" t="str">
        <x:v>Salaried</x:v>
      </x:c>
      <x:c r="D1424" t="str">
        <x:v>Group A</x:v>
      </x:c>
      <x:c r="E1424" s="26" t="n">
        <x:v>18318.95</x:v>
      </x:c>
      <x:c r="F1424" t="n">
        <x:v>0</x:v>
      </x:c>
      <x:c r="G1424" s="25" t="n">
        <x:v>0.060766</x:v>
      </x:c>
      <x:c r="H1424" t="n">
        <x:f>IF(G1424&lt;$B$6,1,0)</x:f>
        <x:v>1</x:v>
      </x:c>
      <x:c r="I1424" s="26" t="n">
        <x:f>H1424*IF(F1424=0,E1424*$B$7,-E1424*$B$8)</x:f>
        <x:v>2198.274</x:v>
      </x:c>
    </x:row>
    <x:row r="1425">
      <x:c r="A1425" t="n">
        <x:v>4953</x:v>
      </x:c>
      <x:c r="B1425" t="str">
        <x:v>2024-10</x:v>
      </x:c>
      <x:c r="C1425" t="str">
        <x:v>Salaried</x:v>
      </x:c>
      <x:c r="D1425" t="str">
        <x:v>Group A</x:v>
      </x:c>
      <x:c r="E1425" s="26" t="n">
        <x:v>10035.37</x:v>
      </x:c>
      <x:c r="F1425" t="n">
        <x:v>0</x:v>
      </x:c>
      <x:c r="G1425" s="25" t="n">
        <x:v>0.205223</x:v>
      </x:c>
      <x:c r="H1425" t="n">
        <x:f>IF(G1425&lt;$B$6,1,0)</x:f>
        <x:v>0</x:v>
      </x:c>
      <x:c r="I1425" s="26" t="n">
        <x:f>H1425*IF(F1425=0,E1425*$B$7,-E1425*$B$8)</x:f>
        <x:v>0</x:v>
      </x:c>
    </x:row>
    <x:row r="1426">
      <x:c r="A1426" t="n">
        <x:v>4955</x:v>
      </x:c>
      <x:c r="B1426" t="str">
        <x:v>2024-10</x:v>
      </x:c>
      <x:c r="C1426" t="str">
        <x:v>Salaried</x:v>
      </x:c>
      <x:c r="D1426" t="str">
        <x:v>Group A</x:v>
      </x:c>
      <x:c r="E1426" s="26" t="n">
        <x:v>8527.53</x:v>
      </x:c>
      <x:c r="F1426" t="n">
        <x:v>0</x:v>
      </x:c>
      <x:c r="G1426" s="25" t="n">
        <x:v>0.35645</x:v>
      </x:c>
      <x:c r="H1426" t="n">
        <x:f>IF(G1426&lt;$B$6,1,0)</x:f>
        <x:v>0</x:v>
      </x:c>
      <x:c r="I1426" s="26" t="n">
        <x:f>H1426*IF(F1426=0,E1426*$B$7,-E1426*$B$8)</x:f>
        <x:v>0</x:v>
      </x:c>
    </x:row>
    <x:row r="1427">
      <x:c r="A1427" t="n">
        <x:v>4989</x:v>
      </x:c>
      <x:c r="B1427" t="str">
        <x:v>2024-10</x:v>
      </x:c>
      <x:c r="C1427" t="str">
        <x:v>Salaried</x:v>
      </x:c>
      <x:c r="D1427" t="str">
        <x:v>Group B</x:v>
      </x:c>
      <x:c r="E1427" s="26" t="n">
        <x:v>51702.41</x:v>
      </x:c>
      <x:c r="F1427" t="n">
        <x:v>0</x:v>
      </x:c>
      <x:c r="G1427" s="25" t="n">
        <x:v>0.228482</x:v>
      </x:c>
      <x:c r="H1427" t="n">
        <x:f>IF(G1427&lt;$B$6,1,0)</x:f>
        <x:v>0</x:v>
      </x:c>
      <x:c r="I1427" s="26" t="n">
        <x:f>H1427*IF(F1427=0,E1427*$B$7,-E1427*$B$8)</x:f>
        <x:v>0</x:v>
      </x:c>
    </x:row>
    <x:row r="1428">
      <x:c r="A1428" t="n">
        <x:v>5024</x:v>
      </x:c>
      <x:c r="B1428" t="str">
        <x:v>2024-10</x:v>
      </x:c>
      <x:c r="C1428" t="str">
        <x:v>Salaried</x:v>
      </x:c>
      <x:c r="D1428" t="str">
        <x:v>Group B</x:v>
      </x:c>
      <x:c r="E1428" s="26" t="n">
        <x:v>36710.81</x:v>
      </x:c>
      <x:c r="F1428" t="n">
        <x:v>1</x:v>
      </x:c>
      <x:c r="G1428" s="25" t="n">
        <x:v>0.189546</x:v>
      </x:c>
      <x:c r="H1428" t="n">
        <x:f>IF(G1428&lt;$B$6,1,0)</x:f>
        <x:v>0</x:v>
      </x:c>
      <x:c r="I1428" s="26" t="n">
        <x:f>H1428*IF(F1428=0,E1428*$B$7,-E1428*$B$8)</x:f>
        <x:v>0</x:v>
      </x:c>
    </x:row>
    <x:row r="1429">
      <x:c r="A1429" t="n">
        <x:v>5035</x:v>
      </x:c>
      <x:c r="B1429" t="str">
        <x:v>2024-10</x:v>
      </x:c>
      <x:c r="C1429" t="str">
        <x:v>Salaried</x:v>
      </x:c>
      <x:c r="D1429" t="str">
        <x:v>Group B</x:v>
      </x:c>
      <x:c r="E1429" s="26" t="n">
        <x:v>12916.94</x:v>
      </x:c>
      <x:c r="F1429" t="n">
        <x:v>0</x:v>
      </x:c>
      <x:c r="G1429" s="25" t="n">
        <x:v>0.264115</x:v>
      </x:c>
      <x:c r="H1429" t="n">
        <x:f>IF(G1429&lt;$B$6,1,0)</x:f>
        <x:v>0</x:v>
      </x:c>
      <x:c r="I1429" s="26" t="n">
        <x:f>H1429*IF(F1429=0,E1429*$B$7,-E1429*$B$8)</x:f>
        <x:v>0</x:v>
      </x:c>
    </x:row>
    <x:row r="1430">
      <x:c r="A1430" t="n">
        <x:v>5063</x:v>
      </x:c>
      <x:c r="B1430" t="str">
        <x:v>2024-10</x:v>
      </x:c>
      <x:c r="C1430" t="str">
        <x:v>Self employed</x:v>
      </x:c>
      <x:c r="D1430" t="str">
        <x:v>Group B</x:v>
      </x:c>
      <x:c r="E1430" s="26" t="n">
        <x:v>7830.58</x:v>
      </x:c>
      <x:c r="F1430" t="n">
        <x:v>0</x:v>
      </x:c>
      <x:c r="G1430" s="25" t="n">
        <x:v>0.099053</x:v>
      </x:c>
      <x:c r="H1430" t="n">
        <x:f>IF(G1430&lt;$B$6,1,0)</x:f>
        <x:v>1</x:v>
      </x:c>
      <x:c r="I1430" s="26" t="n">
        <x:f>H1430*IF(F1430=0,E1430*$B$7,-E1430*$B$8)</x:f>
        <x:v>939.6696</x:v>
      </x:c>
    </x:row>
    <x:row r="1431">
      <x:c r="A1431" t="n">
        <x:v>5083</x:v>
      </x:c>
      <x:c r="B1431" t="str">
        <x:v>2024-10</x:v>
      </x:c>
      <x:c r="C1431" t="str">
        <x:v>Salaried</x:v>
      </x:c>
      <x:c r="D1431" t="str">
        <x:v>Group A</x:v>
      </x:c>
      <x:c r="E1431" s="26" t="n">
        <x:v>12810.24</x:v>
      </x:c>
      <x:c r="F1431" t="n">
        <x:v>0</x:v>
      </x:c>
      <x:c r="G1431" s="25" t="n">
        <x:v>0.383076</x:v>
      </x:c>
      <x:c r="H1431" t="n">
        <x:f>IF(G1431&lt;$B$6,1,0)</x:f>
        <x:v>0</x:v>
      </x:c>
      <x:c r="I1431" s="26" t="n">
        <x:f>H1431*IF(F1431=0,E1431*$B$7,-E1431*$B$8)</x:f>
        <x:v>0</x:v>
      </x:c>
    </x:row>
    <x:row r="1432">
      <x:c r="A1432" t="n">
        <x:v>5097</x:v>
      </x:c>
      <x:c r="B1432" t="str">
        <x:v>2024-10</x:v>
      </x:c>
      <x:c r="C1432" t="str">
        <x:v>Salaried</x:v>
      </x:c>
      <x:c r="D1432" t="str">
        <x:v>Group B</x:v>
      </x:c>
      <x:c r="E1432" s="26" t="n">
        <x:v>44503.31</x:v>
      </x:c>
      <x:c r="F1432" t="n">
        <x:v>0</x:v>
      </x:c>
      <x:c r="G1432" s="25" t="n">
        <x:v>0.54938</x:v>
      </x:c>
      <x:c r="H1432" t="n">
        <x:f>IF(G1432&lt;$B$6,1,0)</x:f>
        <x:v>0</x:v>
      </x:c>
      <x:c r="I1432" s="26" t="n">
        <x:f>H1432*IF(F1432=0,E1432*$B$7,-E1432*$B$8)</x:f>
        <x:v>0</x:v>
      </x:c>
    </x:row>
    <x:row r="1433">
      <x:c r="A1433" t="n">
        <x:v>5100</x:v>
      </x:c>
      <x:c r="B1433" t="str">
        <x:v>2024-10</x:v>
      </x:c>
      <x:c r="C1433" t="str">
        <x:v>Salaried</x:v>
      </x:c>
      <x:c r="D1433" t="str">
        <x:v>Group A</x:v>
      </x:c>
      <x:c r="E1433" s="26" t="n">
        <x:v>21906.24</x:v>
      </x:c>
      <x:c r="F1433" t="n">
        <x:v>1</x:v>
      </x:c>
      <x:c r="G1433" s="25" t="n">
        <x:v>0.616691</x:v>
      </x:c>
      <x:c r="H1433" t="n">
        <x:f>IF(G1433&lt;$B$6,1,0)</x:f>
        <x:v>0</x:v>
      </x:c>
      <x:c r="I1433" s="26" t="n">
        <x:f>H1433*IF(F1433=0,E1433*$B$7,-E1433*$B$8)</x:f>
        <x:v>0</x:v>
      </x:c>
    </x:row>
    <x:row r="1434">
      <x:c r="A1434" t="n">
        <x:v>5132</x:v>
      </x:c>
      <x:c r="B1434" t="str">
        <x:v>2024-10</x:v>
      </x:c>
      <x:c r="C1434" t="str">
        <x:v>Contract</x:v>
      </x:c>
      <x:c r="D1434" t="str">
        <x:v>Group B</x:v>
      </x:c>
      <x:c r="E1434" s="26" t="n">
        <x:v>55847.16</x:v>
      </x:c>
      <x:c r="F1434" t="n">
        <x:v>0</x:v>
      </x:c>
      <x:c r="G1434" s="25" t="n">
        <x:v>0.117528</x:v>
      </x:c>
      <x:c r="H1434" t="n">
        <x:f>IF(G1434&lt;$B$6,1,0)</x:f>
        <x:v>1</x:v>
      </x:c>
      <x:c r="I1434" s="26" t="n">
        <x:f>H1434*IF(F1434=0,E1434*$B$7,-E1434*$B$8)</x:f>
        <x:v>6701.6592</x:v>
      </x:c>
    </x:row>
    <x:row r="1435">
      <x:c r="A1435" t="n">
        <x:v>5179</x:v>
      </x:c>
      <x:c r="B1435" t="str">
        <x:v>2024-10</x:v>
      </x:c>
      <x:c r="C1435" t="str">
        <x:v>Contract</x:v>
      </x:c>
      <x:c r="D1435" t="str">
        <x:v>Group A</x:v>
      </x:c>
      <x:c r="E1435" s="26" t="n">
        <x:v>36525.39</x:v>
      </x:c>
      <x:c r="F1435" t="n">
        <x:v>0</x:v>
      </x:c>
      <x:c r="G1435" s="25" t="n">
        <x:v>0.326147</x:v>
      </x:c>
      <x:c r="H1435" t="n">
        <x:f>IF(G1435&lt;$B$6,1,0)</x:f>
        <x:v>0</x:v>
      </x:c>
      <x:c r="I1435" s="26" t="n">
        <x:f>H1435*IF(F1435=0,E1435*$B$7,-E1435*$B$8)</x:f>
        <x:v>0</x:v>
      </x:c>
    </x:row>
    <x:row r="1436">
      <x:c r="A1436" t="n">
        <x:v>5217</x:v>
      </x:c>
      <x:c r="B1436" t="str">
        <x:v>2024-10</x:v>
      </x:c>
      <x:c r="C1436" t="str">
        <x:v>Salaried</x:v>
      </x:c>
      <x:c r="D1436" t="str">
        <x:v>Group B</x:v>
      </x:c>
      <x:c r="E1436" s="26" t="n">
        <x:v>8956.11</x:v>
      </x:c>
      <x:c r="F1436" t="n">
        <x:v>1</x:v>
      </x:c>
      <x:c r="G1436" s="25" t="n">
        <x:v>0.018513</x:v>
      </x:c>
      <x:c r="H1436" t="n">
        <x:f>IF(G1436&lt;$B$6,1,0)</x:f>
        <x:v>1</x:v>
      </x:c>
      <x:c r="I1436" s="26" t="n">
        <x:f>H1436*IF(F1436=0,E1436*$B$7,-E1436*$B$8)</x:f>
        <x:v>-5821.471500000001</x:v>
      </x:c>
    </x:row>
    <x:row r="1437">
      <x:c r="A1437" t="n">
        <x:v>5316</x:v>
      </x:c>
      <x:c r="B1437" t="str">
        <x:v>2024-10</x:v>
      </x:c>
      <x:c r="C1437" t="str">
        <x:v>Salaried</x:v>
      </x:c>
      <x:c r="D1437" t="str">
        <x:v>Group A</x:v>
      </x:c>
      <x:c r="E1437" s="26" t="n">
        <x:v>26952.05</x:v>
      </x:c>
      <x:c r="F1437" t="n">
        <x:v>1</x:v>
      </x:c>
      <x:c r="G1437" s="25" t="n">
        <x:v>0.133398</x:v>
      </x:c>
      <x:c r="H1437" t="n">
        <x:f>IF(G1437&lt;$B$6,1,0)</x:f>
        <x:v>1</x:v>
      </x:c>
      <x:c r="I1437" s="26" t="n">
        <x:f>H1437*IF(F1437=0,E1437*$B$7,-E1437*$B$8)</x:f>
        <x:v>-17518.8325</x:v>
      </x:c>
    </x:row>
    <x:row r="1438">
      <x:c r="A1438" t="n">
        <x:v>5338</x:v>
      </x:c>
      <x:c r="B1438" t="str">
        <x:v>2024-10</x:v>
      </x:c>
      <x:c r="C1438" t="str">
        <x:v>Self employed</x:v>
      </x:c>
      <x:c r="D1438" t="str">
        <x:v>Group B</x:v>
      </x:c>
      <x:c r="E1438" s="26" t="n">
        <x:v>5658.16</x:v>
      </x:c>
      <x:c r="F1438" t="n">
        <x:v>1</x:v>
      </x:c>
      <x:c r="G1438" s="25" t="n">
        <x:v>0.180311</x:v>
      </x:c>
      <x:c r="H1438" t="n">
        <x:f>IF(G1438&lt;$B$6,1,0)</x:f>
        <x:v>0</x:v>
      </x:c>
      <x:c r="I1438" s="26" t="n">
        <x:f>H1438*IF(F1438=0,E1438*$B$7,-E1438*$B$8)</x:f>
        <x:v>0</x:v>
      </x:c>
    </x:row>
    <x:row r="1439">
      <x:c r="A1439" t="n">
        <x:v>5395</x:v>
      </x:c>
      <x:c r="B1439" t="str">
        <x:v>2024-10</x:v>
      </x:c>
      <x:c r="C1439" t="str">
        <x:v>Salaried</x:v>
      </x:c>
      <x:c r="D1439" t="str">
        <x:v>Group A</x:v>
      </x:c>
      <x:c r="E1439" s="26" t="n">
        <x:v>24316.91</x:v>
      </x:c>
      <x:c r="F1439" t="n">
        <x:v>0</x:v>
      </x:c>
      <x:c r="G1439" s="25" t="n">
        <x:v>0.339925</x:v>
      </x:c>
      <x:c r="H1439" t="n">
        <x:f>IF(G1439&lt;$B$6,1,0)</x:f>
        <x:v>0</x:v>
      </x:c>
      <x:c r="I1439" s="26" t="n">
        <x:f>H1439*IF(F1439=0,E1439*$B$7,-E1439*$B$8)</x:f>
        <x:v>0</x:v>
      </x:c>
    </x:row>
    <x:row r="1440">
      <x:c r="A1440" t="n">
        <x:v>5432</x:v>
      </x:c>
      <x:c r="B1440" t="str">
        <x:v>2024-10</x:v>
      </x:c>
      <x:c r="C1440" t="str">
        <x:v>Salaried</x:v>
      </x:c>
      <x:c r="D1440" t="str">
        <x:v>Group A</x:v>
      </x:c>
      <x:c r="E1440" s="26" t="n">
        <x:v>7400.77</x:v>
      </x:c>
      <x:c r="F1440" t="n">
        <x:v>0</x:v>
      </x:c>
      <x:c r="G1440" s="25" t="n">
        <x:v>0.266256</x:v>
      </x:c>
      <x:c r="H1440" t="n">
        <x:f>IF(G1440&lt;$B$6,1,0)</x:f>
        <x:v>0</x:v>
      </x:c>
      <x:c r="I1440" s="26" t="n">
        <x:f>H1440*IF(F1440=0,E1440*$B$7,-E1440*$B$8)</x:f>
        <x:v>0</x:v>
      </x:c>
    </x:row>
    <x:row r="1441">
      <x:c r="A1441" t="n">
        <x:v>5483</x:v>
      </x:c>
      <x:c r="B1441" t="str">
        <x:v>2024-10</x:v>
      </x:c>
      <x:c r="C1441" t="str">
        <x:v>Salaried</x:v>
      </x:c>
      <x:c r="D1441" t="str">
        <x:v>Group A</x:v>
      </x:c>
      <x:c r="E1441" s="26" t="n">
        <x:v>9140.37</x:v>
      </x:c>
      <x:c r="F1441" t="n">
        <x:v>1</x:v>
      </x:c>
      <x:c r="G1441" s="25" t="n">
        <x:v>0.190575</x:v>
      </x:c>
      <x:c r="H1441" t="n">
        <x:f>IF(G1441&lt;$B$6,1,0)</x:f>
        <x:v>0</x:v>
      </x:c>
      <x:c r="I1441" s="26" t="n">
        <x:f>H1441*IF(F1441=0,E1441*$B$7,-E1441*$B$8)</x:f>
        <x:v>0</x:v>
      </x:c>
    </x:row>
    <x:row r="1442">
      <x:c r="A1442" t="n">
        <x:v>5490</x:v>
      </x:c>
      <x:c r="B1442" t="str">
        <x:v>2024-10</x:v>
      </x:c>
      <x:c r="C1442" t="str">
        <x:v>Contract</x:v>
      </x:c>
      <x:c r="D1442" t="str">
        <x:v>Group A</x:v>
      </x:c>
      <x:c r="E1442" s="26" t="n">
        <x:v>8306.92</x:v>
      </x:c>
      <x:c r="F1442" t="n">
        <x:v>0</x:v>
      </x:c>
      <x:c r="G1442" s="25" t="n">
        <x:v>0.206049</x:v>
      </x:c>
      <x:c r="H1442" t="n">
        <x:f>IF(G1442&lt;$B$6,1,0)</x:f>
        <x:v>0</x:v>
      </x:c>
      <x:c r="I1442" s="26" t="n">
        <x:f>H1442*IF(F1442=0,E1442*$B$7,-E1442*$B$8)</x:f>
        <x:v>0</x:v>
      </x:c>
    </x:row>
    <x:row r="1443">
      <x:c r="A1443" t="n">
        <x:v>5505</x:v>
      </x:c>
      <x:c r="B1443" t="str">
        <x:v>2024-10</x:v>
      </x:c>
      <x:c r="C1443" t="str">
        <x:v>Salaried</x:v>
      </x:c>
      <x:c r="D1443" t="str">
        <x:v>Group B</x:v>
      </x:c>
      <x:c r="E1443" s="26" t="n">
        <x:v>26631.21</x:v>
      </x:c>
      <x:c r="F1443" t="n">
        <x:v>1</x:v>
      </x:c>
      <x:c r="G1443" s="25" t="n">
        <x:v>0.609624</x:v>
      </x:c>
      <x:c r="H1443" t="n">
        <x:f>IF(G1443&lt;$B$6,1,0)</x:f>
        <x:v>0</x:v>
      </x:c>
      <x:c r="I1443" s="26" t="n">
        <x:f>H1443*IF(F1443=0,E1443*$B$7,-E1443*$B$8)</x:f>
        <x:v>0</x:v>
      </x:c>
    </x:row>
    <x:row r="1444">
      <x:c r="A1444" t="n">
        <x:v>5520</x:v>
      </x:c>
      <x:c r="B1444" t="str">
        <x:v>2024-10</x:v>
      </x:c>
      <x:c r="C1444" t="str">
        <x:v>Salaried</x:v>
      </x:c>
      <x:c r="D1444" t="str">
        <x:v>Group B</x:v>
      </x:c>
      <x:c r="E1444" s="26" t="n">
        <x:v>41186.86</x:v>
      </x:c>
      <x:c r="F1444" t="n">
        <x:v>1</x:v>
      </x:c>
      <x:c r="G1444" s="25" t="n">
        <x:v>0.729318</x:v>
      </x:c>
      <x:c r="H1444" t="n">
        <x:f>IF(G1444&lt;$B$6,1,0)</x:f>
        <x:v>0</x:v>
      </x:c>
      <x:c r="I1444" s="26" t="n">
        <x:f>H1444*IF(F1444=0,E1444*$B$7,-E1444*$B$8)</x:f>
        <x:v>0</x:v>
      </x:c>
    </x:row>
    <x:row r="1445">
      <x:c r="A1445" t="n">
        <x:v>5559</x:v>
      </x:c>
      <x:c r="B1445" t="str">
        <x:v>2024-10</x:v>
      </x:c>
      <x:c r="C1445" t="str">
        <x:v>Salaried</x:v>
      </x:c>
      <x:c r="D1445" t="str">
        <x:v>Group A</x:v>
      </x:c>
      <x:c r="E1445" s="26" t="n">
        <x:v>33321.41</x:v>
      </x:c>
      <x:c r="F1445" t="n">
        <x:v>0</x:v>
      </x:c>
      <x:c r="G1445" s="25" t="n">
        <x:v>0.126736</x:v>
      </x:c>
      <x:c r="H1445" t="n">
        <x:f>IF(G1445&lt;$B$6,1,0)</x:f>
        <x:v>1</x:v>
      </x:c>
      <x:c r="I1445" s="26" t="n">
        <x:f>H1445*IF(F1445=0,E1445*$B$7,-E1445*$B$8)</x:f>
        <x:v>3998.5692000000004</x:v>
      </x:c>
    </x:row>
    <x:row r="1446">
      <x:c r="A1446" t="n">
        <x:v>5561</x:v>
      </x:c>
      <x:c r="B1446" t="str">
        <x:v>2024-10</x:v>
      </x:c>
      <x:c r="C1446" t="str">
        <x:v>Self employed</x:v>
      </x:c>
      <x:c r="D1446" t="str">
        <x:v>Group A</x:v>
      </x:c>
      <x:c r="E1446" s="26" t="n">
        <x:v>25488.26</x:v>
      </x:c>
      <x:c r="F1446" t="n">
        <x:v>1</x:v>
      </x:c>
      <x:c r="G1446" s="25" t="n">
        <x:v>0.234442</x:v>
      </x:c>
      <x:c r="H1446" t="n">
        <x:f>IF(G1446&lt;$B$6,1,0)</x:f>
        <x:v>0</x:v>
      </x:c>
      <x:c r="I1446" s="26" t="n">
        <x:f>H1446*IF(F1446=0,E1446*$B$7,-E1446*$B$8)</x:f>
        <x:v>0</x:v>
      </x:c>
    </x:row>
    <x:row r="1447">
      <x:c r="A1447" t="n">
        <x:v>5576</x:v>
      </x:c>
      <x:c r="B1447" t="str">
        <x:v>2024-10</x:v>
      </x:c>
      <x:c r="C1447" t="str">
        <x:v>Salaried</x:v>
      </x:c>
      <x:c r="D1447" t="str">
        <x:v>Group B</x:v>
      </x:c>
      <x:c r="E1447" s="26" t="n">
        <x:v>6730.9</x:v>
      </x:c>
      <x:c r="F1447" t="n">
        <x:v>0</x:v>
      </x:c>
      <x:c r="G1447" s="25" t="n">
        <x:v>0.056785</x:v>
      </x:c>
      <x:c r="H1447" t="n">
        <x:f>IF(G1447&lt;$B$6,1,0)</x:f>
        <x:v>1</x:v>
      </x:c>
      <x:c r="I1447" s="26" t="n">
        <x:f>H1447*IF(F1447=0,E1447*$B$7,-E1447*$B$8)</x:f>
        <x:v>807.708</x:v>
      </x:c>
    </x:row>
    <x:row r="1448">
      <x:c r="A1448" t="n">
        <x:v>5583</x:v>
      </x:c>
      <x:c r="B1448" t="str">
        <x:v>2024-10</x:v>
      </x:c>
      <x:c r="C1448" t="str">
        <x:v>Salaried</x:v>
      </x:c>
      <x:c r="D1448" t="str">
        <x:v>Group A</x:v>
      </x:c>
      <x:c r="E1448" s="26" t="n">
        <x:v>14288.54</x:v>
      </x:c>
      <x:c r="F1448" t="n">
        <x:v>0</x:v>
      </x:c>
      <x:c r="G1448" s="25" t="n">
        <x:v>0.225269</x:v>
      </x:c>
      <x:c r="H1448" t="n">
        <x:f>IF(G1448&lt;$B$6,1,0)</x:f>
        <x:v>0</x:v>
      </x:c>
      <x:c r="I1448" s="26" t="n">
        <x:f>H1448*IF(F1448=0,E1448*$B$7,-E1448*$B$8)</x:f>
        <x:v>0</x:v>
      </x:c>
    </x:row>
    <x:row r="1449">
      <x:c r="A1449" t="n">
        <x:v>5647</x:v>
      </x:c>
      <x:c r="B1449" t="str">
        <x:v>2024-10</x:v>
      </x:c>
      <x:c r="C1449" t="str">
        <x:v>Self employed</x:v>
      </x:c>
      <x:c r="D1449" t="str">
        <x:v>Group A</x:v>
      </x:c>
      <x:c r="E1449" s="26" t="n">
        <x:v>21600.39</x:v>
      </x:c>
      <x:c r="F1449" t="n">
        <x:v>0</x:v>
      </x:c>
      <x:c r="G1449" s="25" t="n">
        <x:v>0.206394</x:v>
      </x:c>
      <x:c r="H1449" t="n">
        <x:f>IF(G1449&lt;$B$6,1,0)</x:f>
        <x:v>0</x:v>
      </x:c>
      <x:c r="I1449" s="26" t="n">
        <x:f>H1449*IF(F1449=0,E1449*$B$7,-E1449*$B$8)</x:f>
        <x:v>0</x:v>
      </x:c>
    </x:row>
    <x:row r="1450">
      <x:c r="A1450" t="n">
        <x:v>5688</x:v>
      </x:c>
      <x:c r="B1450" t="str">
        <x:v>2024-10</x:v>
      </x:c>
      <x:c r="C1450" t="str">
        <x:v>Salaried</x:v>
      </x:c>
      <x:c r="D1450" t="str">
        <x:v>Group A</x:v>
      </x:c>
      <x:c r="E1450" s="26" t="n">
        <x:v>14259.28</x:v>
      </x:c>
      <x:c r="F1450" t="n">
        <x:v>1</x:v>
      </x:c>
      <x:c r="G1450" s="25" t="n">
        <x:v>0.082361</x:v>
      </x:c>
      <x:c r="H1450" t="n">
        <x:f>IF(G1450&lt;$B$6,1,0)</x:f>
        <x:v>1</x:v>
      </x:c>
      <x:c r="I1450" s="26" t="n">
        <x:f>H1450*IF(F1450=0,E1450*$B$7,-E1450*$B$8)</x:f>
        <x:v>-9268.532000000001</x:v>
      </x:c>
    </x:row>
    <x:row r="1451">
      <x:c r="A1451" t="n">
        <x:v>5690</x:v>
      </x:c>
      <x:c r="B1451" t="str">
        <x:v>2024-10</x:v>
      </x:c>
      <x:c r="C1451" t="str">
        <x:v>Salaried</x:v>
      </x:c>
      <x:c r="D1451" t="str">
        <x:v>Group B</x:v>
      </x:c>
      <x:c r="E1451" s="26" t="n">
        <x:v>8558.8</x:v>
      </x:c>
      <x:c r="F1451" t="n">
        <x:v>1</x:v>
      </x:c>
      <x:c r="G1451" s="25" t="n">
        <x:v>0.14308</x:v>
      </x:c>
      <x:c r="H1451" t="n">
        <x:f>IF(G1451&lt;$B$6,1,0)</x:f>
        <x:v>1</x:v>
      </x:c>
      <x:c r="I1451" s="26" t="n">
        <x:f>H1451*IF(F1451=0,E1451*$B$7,-E1451*$B$8)</x:f>
        <x:v>-5563.219999999999</x:v>
      </x:c>
    </x:row>
    <x:row r="1452">
      <x:c r="A1452" t="n">
        <x:v>5695</x:v>
      </x:c>
      <x:c r="B1452" t="str">
        <x:v>2024-10</x:v>
      </x:c>
      <x:c r="C1452" t="str">
        <x:v>Self employed</x:v>
      </x:c>
      <x:c r="D1452" t="str">
        <x:v>Group B</x:v>
      </x:c>
      <x:c r="E1452" s="26" t="n">
        <x:v>32315.96</x:v>
      </x:c>
      <x:c r="F1452" t="n">
        <x:v>1</x:v>
      </x:c>
      <x:c r="G1452" s="25" t="n">
        <x:v>0.632452</x:v>
      </x:c>
      <x:c r="H1452" t="n">
        <x:f>IF(G1452&lt;$B$6,1,0)</x:f>
        <x:v>0</x:v>
      </x:c>
      <x:c r="I1452" s="26" t="n">
        <x:f>H1452*IF(F1452=0,E1452*$B$7,-E1452*$B$8)</x:f>
        <x:v>0</x:v>
      </x:c>
    </x:row>
    <x:row r="1453">
      <x:c r="A1453" t="n">
        <x:v>5704</x:v>
      </x:c>
      <x:c r="B1453" t="str">
        <x:v>2024-10</x:v>
      </x:c>
      <x:c r="C1453" t="str">
        <x:v>Salaried</x:v>
      </x:c>
      <x:c r="D1453" t="str">
        <x:v>Group A</x:v>
      </x:c>
      <x:c r="E1453" s="26" t="n">
        <x:v>12685.7</x:v>
      </x:c>
      <x:c r="F1453" t="n">
        <x:v>0</x:v>
      </x:c>
      <x:c r="G1453" s="25" t="n">
        <x:v>0.129271</x:v>
      </x:c>
      <x:c r="H1453" t="n">
        <x:f>IF(G1453&lt;$B$6,1,0)</x:f>
        <x:v>1</x:v>
      </x:c>
      <x:c r="I1453" s="26" t="n">
        <x:f>H1453*IF(F1453=0,E1453*$B$7,-E1453*$B$8)</x:f>
        <x:v>1522.284</x:v>
      </x:c>
    </x:row>
    <x:row r="1454">
      <x:c r="A1454" t="n">
        <x:v>5722</x:v>
      </x:c>
      <x:c r="B1454" t="str">
        <x:v>2024-10</x:v>
      </x:c>
      <x:c r="C1454" t="str">
        <x:v>Salaried</x:v>
      </x:c>
      <x:c r="D1454" t="str">
        <x:v>Group A</x:v>
      </x:c>
      <x:c r="E1454" s="26" t="n">
        <x:v>4726.43</x:v>
      </x:c>
      <x:c r="F1454" t="n">
        <x:v>0</x:v>
      </x:c>
      <x:c r="G1454" s="25" t="n">
        <x:v>0.165687</x:v>
      </x:c>
      <x:c r="H1454" t="n">
        <x:f>IF(G1454&lt;$B$6,1,0)</x:f>
        <x:v>0</x:v>
      </x:c>
      <x:c r="I1454" s="26" t="n">
        <x:f>H1454*IF(F1454=0,E1454*$B$7,-E1454*$B$8)</x:f>
        <x:v>0</x:v>
      </x:c>
    </x:row>
    <x:row r="1455">
      <x:c r="A1455" t="n">
        <x:v>5829</x:v>
      </x:c>
      <x:c r="B1455" t="str">
        <x:v>2024-10</x:v>
      </x:c>
      <x:c r="C1455" t="str">
        <x:v>Salaried</x:v>
      </x:c>
      <x:c r="D1455" t="str">
        <x:v>Group A</x:v>
      </x:c>
      <x:c r="E1455" s="26" t="n">
        <x:v>55679.46</x:v>
      </x:c>
      <x:c r="F1455" t="n">
        <x:v>0</x:v>
      </x:c>
      <x:c r="G1455" s="25" t="n">
        <x:v>0.075151</x:v>
      </x:c>
      <x:c r="H1455" t="n">
        <x:f>IF(G1455&lt;$B$6,1,0)</x:f>
        <x:v>1</x:v>
      </x:c>
      <x:c r="I1455" s="26" t="n">
        <x:f>H1455*IF(F1455=0,E1455*$B$7,-E1455*$B$8)</x:f>
        <x:v>6681.535199999999</x:v>
      </x:c>
    </x:row>
    <x:row r="1456">
      <x:c r="A1456" t="n">
        <x:v>5844</x:v>
      </x:c>
      <x:c r="B1456" t="str">
        <x:v>2024-10</x:v>
      </x:c>
      <x:c r="C1456" t="str">
        <x:v>Salaried</x:v>
      </x:c>
      <x:c r="D1456" t="str">
        <x:v>Group B</x:v>
      </x:c>
      <x:c r="E1456" s="26" t="n">
        <x:v>20354.31</x:v>
      </x:c>
      <x:c r="F1456" t="n">
        <x:v>0</x:v>
      </x:c>
      <x:c r="G1456" s="25" t="n">
        <x:v>0.292617</x:v>
      </x:c>
      <x:c r="H1456" t="n">
        <x:f>IF(G1456&lt;$B$6,1,0)</x:f>
        <x:v>0</x:v>
      </x:c>
      <x:c r="I1456" s="26" t="n">
        <x:f>H1456*IF(F1456=0,E1456*$B$7,-E1456*$B$8)</x:f>
        <x:v>0</x:v>
      </x:c>
    </x:row>
    <x:row r="1457">
      <x:c r="A1457" t="n">
        <x:v>5926</x:v>
      </x:c>
      <x:c r="B1457" t="str">
        <x:v>2024-10</x:v>
      </x:c>
      <x:c r="C1457" t="str">
        <x:v>Self employed</x:v>
      </x:c>
      <x:c r="D1457" t="str">
        <x:v>Group A</x:v>
      </x:c>
      <x:c r="E1457" s="26" t="n">
        <x:v>7334.5</x:v>
      </x:c>
      <x:c r="F1457" t="n">
        <x:v>1</x:v>
      </x:c>
      <x:c r="G1457" s="25" t="n">
        <x:v>0.313711</x:v>
      </x:c>
      <x:c r="H1457" t="n">
        <x:f>IF(G1457&lt;$B$6,1,0)</x:f>
        <x:v>0</x:v>
      </x:c>
      <x:c r="I1457" s="26" t="n">
        <x:f>H1457*IF(F1457=0,E1457*$B$7,-E1457*$B$8)</x:f>
        <x:v>0</x:v>
      </x:c>
    </x:row>
    <x:row r="1458">
      <x:c r="A1458" t="n">
        <x:v>5941</x:v>
      </x:c>
      <x:c r="B1458" t="str">
        <x:v>2024-10</x:v>
      </x:c>
      <x:c r="C1458" t="str">
        <x:v>Salaried</x:v>
      </x:c>
      <x:c r="D1458" t="str">
        <x:v>Group A</x:v>
      </x:c>
      <x:c r="E1458" s="26" t="n">
        <x:v>22572.15</x:v>
      </x:c>
      <x:c r="F1458" t="n">
        <x:v>0</x:v>
      </x:c>
      <x:c r="G1458" s="25" t="n">
        <x:v>0.187621</x:v>
      </x:c>
      <x:c r="H1458" t="n">
        <x:f>IF(G1458&lt;$B$6,1,0)</x:f>
        <x:v>0</x:v>
      </x:c>
      <x:c r="I1458" s="26" t="n">
        <x:f>H1458*IF(F1458=0,E1458*$B$7,-E1458*$B$8)</x:f>
        <x:v>0</x:v>
      </x:c>
    </x:row>
    <x:row r="1459">
      <x:c r="A1459" t="n">
        <x:v>5947</x:v>
      </x:c>
      <x:c r="B1459" t="str">
        <x:v>2024-10</x:v>
      </x:c>
      <x:c r="C1459" t="str">
        <x:v>Salaried</x:v>
      </x:c>
      <x:c r="D1459" t="str">
        <x:v>Group B</x:v>
      </x:c>
      <x:c r="E1459" s="26" t="n">
        <x:v>8818.1</x:v>
      </x:c>
      <x:c r="F1459" t="n">
        <x:v>0</x:v>
      </x:c>
      <x:c r="G1459" s="25" t="n">
        <x:v>0.208803</x:v>
      </x:c>
      <x:c r="H1459" t="n">
        <x:f>IF(G1459&lt;$B$6,1,0)</x:f>
        <x:v>0</x:v>
      </x:c>
      <x:c r="I1459" s="26" t="n">
        <x:f>H1459*IF(F1459=0,E1459*$B$7,-E1459*$B$8)</x:f>
        <x:v>0</x:v>
      </x:c>
    </x:row>
    <x:row r="1460">
      <x:c r="A1460" t="n">
        <x:v>5991</x:v>
      </x:c>
      <x:c r="B1460" t="str">
        <x:v>2024-10</x:v>
      </x:c>
      <x:c r="C1460" t="str">
        <x:v>Self employed</x:v>
      </x:c>
      <x:c r="D1460" t="str">
        <x:v>Group B</x:v>
      </x:c>
      <x:c r="E1460" s="26" t="n">
        <x:v>11972.51</x:v>
      </x:c>
      <x:c r="F1460" t="n">
        <x:v>0</x:v>
      </x:c>
      <x:c r="G1460" s="25" t="n">
        <x:v>0.025473</x:v>
      </x:c>
      <x:c r="H1460" t="n">
        <x:f>IF(G1460&lt;$B$6,1,0)</x:f>
        <x:v>1</x:v>
      </x:c>
      <x:c r="I1460" s="26" t="n">
        <x:f>H1460*IF(F1460=0,E1460*$B$7,-E1460*$B$8)</x:f>
        <x:v>1436.7012</x:v>
      </x:c>
    </x:row>
    <x:row r="1461">
      <x:c r="A1461" t="n">
        <x:v>6040</x:v>
      </x:c>
      <x:c r="B1461" t="str">
        <x:v>2024-10</x:v>
      </x:c>
      <x:c r="C1461" t="str">
        <x:v>Salaried</x:v>
      </x:c>
      <x:c r="D1461" t="str">
        <x:v>Group A</x:v>
      </x:c>
      <x:c r="E1461" s="26" t="n">
        <x:v>16401.92</x:v>
      </x:c>
      <x:c r="F1461" t="n">
        <x:v>0</x:v>
      </x:c>
      <x:c r="G1461" s="25" t="n">
        <x:v>0.63051</x:v>
      </x:c>
      <x:c r="H1461" t="n">
        <x:f>IF(G1461&lt;$B$6,1,0)</x:f>
        <x:v>0</x:v>
      </x:c>
      <x:c r="I1461" s="26" t="n">
        <x:f>H1461*IF(F1461=0,E1461*$B$7,-E1461*$B$8)</x:f>
        <x:v>0</x:v>
      </x:c>
    </x:row>
    <x:row r="1462">
      <x:c r="A1462" t="n">
        <x:v>6071</x:v>
      </x:c>
      <x:c r="B1462" t="str">
        <x:v>2024-10</x:v>
      </x:c>
      <x:c r="C1462" t="str">
        <x:v>Contract</x:v>
      </x:c>
      <x:c r="D1462" t="str">
        <x:v>Group B</x:v>
      </x:c>
      <x:c r="E1462" s="26" t="n">
        <x:v>6344.6</x:v>
      </x:c>
      <x:c r="F1462" t="n">
        <x:v>1</x:v>
      </x:c>
      <x:c r="G1462" s="25" t="n">
        <x:v>0.480635</x:v>
      </x:c>
      <x:c r="H1462" t="n">
        <x:f>IF(G1462&lt;$B$6,1,0)</x:f>
        <x:v>0</x:v>
      </x:c>
      <x:c r="I1462" s="26" t="n">
        <x:f>H1462*IF(F1462=0,E1462*$B$7,-E1462*$B$8)</x:f>
        <x:v>0</x:v>
      </x:c>
    </x:row>
    <x:row r="1463">
      <x:c r="A1463" t="n">
        <x:v>6086</x:v>
      </x:c>
      <x:c r="B1463" t="str">
        <x:v>2024-10</x:v>
      </x:c>
      <x:c r="C1463" t="str">
        <x:v>Self employed</x:v>
      </x:c>
      <x:c r="D1463" t="str">
        <x:v>Group A</x:v>
      </x:c>
      <x:c r="E1463" s="26" t="n">
        <x:v>4903.38</x:v>
      </x:c>
      <x:c r="F1463" t="n">
        <x:v>1</x:v>
      </x:c>
      <x:c r="G1463" s="25" t="n">
        <x:v>0.232279</x:v>
      </x:c>
      <x:c r="H1463" t="n">
        <x:f>IF(G1463&lt;$B$6,1,0)</x:f>
        <x:v>0</x:v>
      </x:c>
      <x:c r="I1463" s="26" t="n">
        <x:f>H1463*IF(F1463=0,E1463*$B$7,-E1463*$B$8)</x:f>
        <x:v>0</x:v>
      </x:c>
    </x:row>
    <x:row r="1464">
      <x:c r="A1464" t="n">
        <x:v>6111</x:v>
      </x:c>
      <x:c r="B1464" t="str">
        <x:v>2024-10</x:v>
      </x:c>
      <x:c r="C1464" t="str">
        <x:v>Salaried</x:v>
      </x:c>
      <x:c r="D1464" t="str">
        <x:v>Group A</x:v>
      </x:c>
      <x:c r="E1464" s="26" t="n">
        <x:v>10694.25</x:v>
      </x:c>
      <x:c r="F1464" t="n">
        <x:v>1</x:v>
      </x:c>
      <x:c r="G1464" s="25" t="n">
        <x:v>0.525751</x:v>
      </x:c>
      <x:c r="H1464" t="n">
        <x:f>IF(G1464&lt;$B$6,1,0)</x:f>
        <x:v>0</x:v>
      </x:c>
      <x:c r="I1464" s="26" t="n">
        <x:f>H1464*IF(F1464=0,E1464*$B$7,-E1464*$B$8)</x:f>
        <x:v>0</x:v>
      </x:c>
    </x:row>
    <x:row r="1465">
      <x:c r="A1465" t="n">
        <x:v>6142</x:v>
      </x:c>
      <x:c r="B1465" t="str">
        <x:v>2024-10</x:v>
      </x:c>
      <x:c r="C1465" t="str">
        <x:v>Salaried</x:v>
      </x:c>
      <x:c r="D1465" t="str">
        <x:v>Group B</x:v>
      </x:c>
      <x:c r="E1465" s="26" t="n">
        <x:v>23045.37</x:v>
      </x:c>
      <x:c r="F1465" t="n">
        <x:v>1</x:v>
      </x:c>
      <x:c r="G1465" s="25" t="n">
        <x:v>0.499087</x:v>
      </x:c>
      <x:c r="H1465" t="n">
        <x:f>IF(G1465&lt;$B$6,1,0)</x:f>
        <x:v>0</x:v>
      </x:c>
      <x:c r="I1465" s="26" t="n">
        <x:f>H1465*IF(F1465=0,E1465*$B$7,-E1465*$B$8)</x:f>
        <x:v>0</x:v>
      </x:c>
    </x:row>
    <x:row r="1466">
      <x:c r="A1466" t="n">
        <x:v>6165</x:v>
      </x:c>
      <x:c r="B1466" t="str">
        <x:v>2024-10</x:v>
      </x:c>
      <x:c r="C1466" t="str">
        <x:v>Salaried</x:v>
      </x:c>
      <x:c r="D1466" t="str">
        <x:v>Group A</x:v>
      </x:c>
      <x:c r="E1466" s="26" t="n">
        <x:v>67390.85</x:v>
      </x:c>
      <x:c r="F1466" t="n">
        <x:v>0</x:v>
      </x:c>
      <x:c r="G1466" s="25" t="n">
        <x:v>0.175517</x:v>
      </x:c>
      <x:c r="H1466" t="n">
        <x:f>IF(G1466&lt;$B$6,1,0)</x:f>
        <x:v>0</x:v>
      </x:c>
      <x:c r="I1466" s="26" t="n">
        <x:f>H1466*IF(F1466=0,E1466*$B$7,-E1466*$B$8)</x:f>
        <x:v>0</x:v>
      </x:c>
    </x:row>
    <x:row r="1467">
      <x:c r="A1467" t="n">
        <x:v>6174</x:v>
      </x:c>
      <x:c r="B1467" t="str">
        <x:v>2024-10</x:v>
      </x:c>
      <x:c r="C1467" t="str">
        <x:v>Salaried</x:v>
      </x:c>
      <x:c r="D1467" t="str">
        <x:v>Group B</x:v>
      </x:c>
      <x:c r="E1467" s="26" t="n">
        <x:v>8135.73</x:v>
      </x:c>
      <x:c r="F1467" t="n">
        <x:v>0</x:v>
      </x:c>
      <x:c r="G1467" s="25" t="n">
        <x:v>0.030586</x:v>
      </x:c>
      <x:c r="H1467" t="n">
        <x:f>IF(G1467&lt;$B$6,1,0)</x:f>
        <x:v>1</x:v>
      </x:c>
      <x:c r="I1467" s="26" t="n">
        <x:f>H1467*IF(F1467=0,E1467*$B$7,-E1467*$B$8)</x:f>
        <x:v>976.2875999999999</x:v>
      </x:c>
    </x:row>
    <x:row r="1468">
      <x:c r="A1468" t="n">
        <x:v>6179</x:v>
      </x:c>
      <x:c r="B1468" t="str">
        <x:v>2024-10</x:v>
      </x:c>
      <x:c r="C1468" t="str">
        <x:v>Contract</x:v>
      </x:c>
      <x:c r="D1468" t="str">
        <x:v>Group A</x:v>
      </x:c>
      <x:c r="E1468" s="26" t="n">
        <x:v>7426.4</x:v>
      </x:c>
      <x:c r="F1468" t="n">
        <x:v>1</x:v>
      </x:c>
      <x:c r="G1468" s="25" t="n">
        <x:v>0.443744</x:v>
      </x:c>
      <x:c r="H1468" t="n">
        <x:f>IF(G1468&lt;$B$6,1,0)</x:f>
        <x:v>0</x:v>
      </x:c>
      <x:c r="I1468" s="26" t="n">
        <x:f>H1468*IF(F1468=0,E1468*$B$7,-E1468*$B$8)</x:f>
        <x:v>0</x:v>
      </x:c>
    </x:row>
    <x:row r="1469">
      <x:c r="A1469" t="n">
        <x:v>6211</x:v>
      </x:c>
      <x:c r="B1469" t="str">
        <x:v>2024-10</x:v>
      </x:c>
      <x:c r="C1469" t="str">
        <x:v>Contract</x:v>
      </x:c>
      <x:c r="D1469" t="str">
        <x:v>Group B</x:v>
      </x:c>
      <x:c r="E1469" s="26" t="n">
        <x:v>7702.96</x:v>
      </x:c>
      <x:c r="F1469" t="n">
        <x:v>1</x:v>
      </x:c>
      <x:c r="G1469" s="25" t="n">
        <x:v>0.527231</x:v>
      </x:c>
      <x:c r="H1469" t="n">
        <x:f>IF(G1469&lt;$B$6,1,0)</x:f>
        <x:v>0</x:v>
      </x:c>
      <x:c r="I1469" s="26" t="n">
        <x:f>H1469*IF(F1469=0,E1469*$B$7,-E1469*$B$8)</x:f>
        <x:v>0</x:v>
      </x:c>
    </x:row>
    <x:row r="1470">
      <x:c r="A1470" t="n">
        <x:v>6250</x:v>
      </x:c>
      <x:c r="B1470" t="str">
        <x:v>2024-10</x:v>
      </x:c>
      <x:c r="C1470" t="str">
        <x:v>Salaried</x:v>
      </x:c>
      <x:c r="D1470" t="str">
        <x:v>Group B</x:v>
      </x:c>
      <x:c r="E1470" s="26" t="n">
        <x:v>11076.9</x:v>
      </x:c>
      <x:c r="F1470" t="n">
        <x:v>1</x:v>
      </x:c>
      <x:c r="G1470" s="25" t="n">
        <x:v>0.127164</x:v>
      </x:c>
      <x:c r="H1470" t="n">
        <x:f>IF(G1470&lt;$B$6,1,0)</x:f>
        <x:v>1</x:v>
      </x:c>
      <x:c r="I1470" s="26" t="n">
        <x:f>H1470*IF(F1470=0,E1470*$B$7,-E1470*$B$8)</x:f>
        <x:v>-7199.985</x:v>
      </x:c>
    </x:row>
    <x:row r="1471">
      <x:c r="A1471" t="n">
        <x:v>6284</x:v>
      </x:c>
      <x:c r="B1471" t="str">
        <x:v>2024-10</x:v>
      </x:c>
      <x:c r="C1471" t="str">
        <x:v>Self employed</x:v>
      </x:c>
      <x:c r="D1471" t="str">
        <x:v>Group A</x:v>
      </x:c>
      <x:c r="E1471" s="26" t="n">
        <x:v>8399.79</x:v>
      </x:c>
      <x:c r="F1471" t="n">
        <x:v>1</x:v>
      </x:c>
      <x:c r="G1471" s="25" t="n">
        <x:v>0.548103</x:v>
      </x:c>
      <x:c r="H1471" t="n">
        <x:f>IF(G1471&lt;$B$6,1,0)</x:f>
        <x:v>0</x:v>
      </x:c>
      <x:c r="I1471" s="26" t="n">
        <x:f>H1471*IF(F1471=0,E1471*$B$7,-E1471*$B$8)</x:f>
        <x:v>0</x:v>
      </x:c>
    </x:row>
    <x:row r="1472">
      <x:c r="A1472" t="n">
        <x:v>6325</x:v>
      </x:c>
      <x:c r="B1472" t="str">
        <x:v>2024-10</x:v>
      </x:c>
      <x:c r="C1472" t="str">
        <x:v>Salaried</x:v>
      </x:c>
      <x:c r="D1472" t="str">
        <x:v>Group B</x:v>
      </x:c>
      <x:c r="E1472" s="26" t="n">
        <x:v>16113.34</x:v>
      </x:c>
      <x:c r="F1472" t="n">
        <x:v>1</x:v>
      </x:c>
      <x:c r="G1472" s="25" t="n">
        <x:v>0.700534</x:v>
      </x:c>
      <x:c r="H1472" t="n">
        <x:f>IF(G1472&lt;$B$6,1,0)</x:f>
        <x:v>0</x:v>
      </x:c>
      <x:c r="I1472" s="26" t="n">
        <x:f>H1472*IF(F1472=0,E1472*$B$7,-E1472*$B$8)</x:f>
        <x:v>0</x:v>
      </x:c>
    </x:row>
    <x:row r="1473">
      <x:c r="A1473" t="n">
        <x:v>6329</x:v>
      </x:c>
      <x:c r="B1473" t="str">
        <x:v>2024-10</x:v>
      </x:c>
      <x:c r="C1473" t="str">
        <x:v>Salaried</x:v>
      </x:c>
      <x:c r="D1473" t="str">
        <x:v>Group A</x:v>
      </x:c>
      <x:c r="E1473" s="26" t="n">
        <x:v>6464.12</x:v>
      </x:c>
      <x:c r="F1473" t="n">
        <x:v>0</x:v>
      </x:c>
      <x:c r="G1473" s="25" t="n">
        <x:v>0.171562</x:v>
      </x:c>
      <x:c r="H1473" t="n">
        <x:f>IF(G1473&lt;$B$6,1,0)</x:f>
        <x:v>0</x:v>
      </x:c>
      <x:c r="I1473" s="26" t="n">
        <x:f>H1473*IF(F1473=0,E1473*$B$7,-E1473*$B$8)</x:f>
        <x:v>0</x:v>
      </x:c>
    </x:row>
    <x:row r="1474">
      <x:c r="A1474" t="n">
        <x:v>6364</x:v>
      </x:c>
      <x:c r="B1474" t="str">
        <x:v>2024-10</x:v>
      </x:c>
      <x:c r="C1474" t="str">
        <x:v>Contract</x:v>
      </x:c>
      <x:c r="D1474" t="str">
        <x:v>Group B</x:v>
      </x:c>
      <x:c r="E1474" s="26" t="n">
        <x:v>9096.42</x:v>
      </x:c>
      <x:c r="F1474" t="n">
        <x:v>1</x:v>
      </x:c>
      <x:c r="G1474" s="25" t="n">
        <x:v>0.106496</x:v>
      </x:c>
      <x:c r="H1474" t="n">
        <x:f>IF(G1474&lt;$B$6,1,0)</x:f>
        <x:v>1</x:v>
      </x:c>
      <x:c r="I1474" s="26" t="n">
        <x:f>H1474*IF(F1474=0,E1474*$B$7,-E1474*$B$8)</x:f>
        <x:v>-5912.673000000001</x:v>
      </x:c>
    </x:row>
    <x:row r="1475">
      <x:c r="A1475" t="n">
        <x:v>6406</x:v>
      </x:c>
      <x:c r="B1475" t="str">
        <x:v>2024-10</x:v>
      </x:c>
      <x:c r="C1475" t="str">
        <x:v>Salaried</x:v>
      </x:c>
      <x:c r="D1475" t="str">
        <x:v>Group B</x:v>
      </x:c>
      <x:c r="E1475" s="26" t="n">
        <x:v>5502.03</x:v>
      </x:c>
      <x:c r="F1475" t="n">
        <x:v>0</x:v>
      </x:c>
      <x:c r="G1475" s="25" t="n">
        <x:v>0.228336</x:v>
      </x:c>
      <x:c r="H1475" t="n">
        <x:f>IF(G1475&lt;$B$6,1,0)</x:f>
        <x:v>0</x:v>
      </x:c>
      <x:c r="I1475" s="26" t="n">
        <x:f>H1475*IF(F1475=0,E1475*$B$7,-E1475*$B$8)</x:f>
        <x:v>0</x:v>
      </x:c>
    </x:row>
    <x:row r="1476">
      <x:c r="A1476" t="n">
        <x:v>6416</x:v>
      </x:c>
      <x:c r="B1476" t="str">
        <x:v>2024-10</x:v>
      </x:c>
      <x:c r="C1476" t="str">
        <x:v>Salaried</x:v>
      </x:c>
      <x:c r="D1476" t="str">
        <x:v>Group A</x:v>
      </x:c>
      <x:c r="E1476" s="26" t="n">
        <x:v>8902.44</x:v>
      </x:c>
      <x:c r="F1476" t="n">
        <x:v>1</x:v>
      </x:c>
      <x:c r="G1476" s="25" t="n">
        <x:v>0.255392</x:v>
      </x:c>
      <x:c r="H1476" t="n">
        <x:f>IF(G1476&lt;$B$6,1,0)</x:f>
        <x:v>0</x:v>
      </x:c>
      <x:c r="I1476" s="26" t="n">
        <x:f>H1476*IF(F1476=0,E1476*$B$7,-E1476*$B$8)</x:f>
        <x:v>0</x:v>
      </x:c>
    </x:row>
    <x:row r="1477">
      <x:c r="A1477" t="n">
        <x:v>6420</x:v>
      </x:c>
      <x:c r="B1477" t="str">
        <x:v>2024-10</x:v>
      </x:c>
      <x:c r="C1477" t="str">
        <x:v>Self employed</x:v>
      </x:c>
      <x:c r="D1477" t="str">
        <x:v>Group A</x:v>
      </x:c>
      <x:c r="E1477" s="26" t="n">
        <x:v>8811.15</x:v>
      </x:c>
      <x:c r="F1477" t="n">
        <x:v>0</x:v>
      </x:c>
      <x:c r="G1477" s="25" t="n">
        <x:v>0.058762</x:v>
      </x:c>
      <x:c r="H1477" t="n">
        <x:f>IF(G1477&lt;$B$6,1,0)</x:f>
        <x:v>1</x:v>
      </x:c>
      <x:c r="I1477" s="26" t="n">
        <x:f>H1477*IF(F1477=0,E1477*$B$7,-E1477*$B$8)</x:f>
        <x:v>1057.338</x:v>
      </x:c>
    </x:row>
    <x:row r="1478">
      <x:c r="A1478" t="n">
        <x:v>6421</x:v>
      </x:c>
      <x:c r="B1478" t="str">
        <x:v>2024-10</x:v>
      </x:c>
      <x:c r="C1478" t="str">
        <x:v>Contract</x:v>
      </x:c>
      <x:c r="D1478" t="str">
        <x:v>Group B</x:v>
      </x:c>
      <x:c r="E1478" s="26" t="n">
        <x:v>44687.56</x:v>
      </x:c>
      <x:c r="F1478" t="n">
        <x:v>0</x:v>
      </x:c>
      <x:c r="G1478" s="25" t="n">
        <x:v>0.619074</x:v>
      </x:c>
      <x:c r="H1478" t="n">
        <x:f>IF(G1478&lt;$B$6,1,0)</x:f>
        <x:v>0</x:v>
      </x:c>
      <x:c r="I1478" s="26" t="n">
        <x:f>H1478*IF(F1478=0,E1478*$B$7,-E1478*$B$8)</x:f>
        <x:v>0</x:v>
      </x:c>
    </x:row>
    <x:row r="1479">
      <x:c r="A1479" t="n">
        <x:v>6432</x:v>
      </x:c>
      <x:c r="B1479" t="str">
        <x:v>2024-10</x:v>
      </x:c>
      <x:c r="C1479" t="str">
        <x:v>Contract</x:v>
      </x:c>
      <x:c r="D1479" t="str">
        <x:v>Group B</x:v>
      </x:c>
      <x:c r="E1479" s="26" t="n">
        <x:v>6779.99</x:v>
      </x:c>
      <x:c r="F1479" t="n">
        <x:v>0</x:v>
      </x:c>
      <x:c r="G1479" s="25" t="n">
        <x:v>0.015883</x:v>
      </x:c>
      <x:c r="H1479" t="n">
        <x:f>IF(G1479&lt;$B$6,1,0)</x:f>
        <x:v>1</x:v>
      </x:c>
      <x:c r="I1479" s="26" t="n">
        <x:f>H1479*IF(F1479=0,E1479*$B$7,-E1479*$B$8)</x:f>
        <x:v>813.5988</x:v>
      </x:c>
    </x:row>
    <x:row r="1480">
      <x:c r="A1480" t="n">
        <x:v>6435</x:v>
      </x:c>
      <x:c r="B1480" t="str">
        <x:v>2024-10</x:v>
      </x:c>
      <x:c r="C1480" t="str">
        <x:v>Salaried</x:v>
      </x:c>
      <x:c r="D1480" t="str">
        <x:v>Group A</x:v>
      </x:c>
      <x:c r="E1480" s="26" t="n">
        <x:v>5378.3</x:v>
      </x:c>
      <x:c r="F1480" t="n">
        <x:v>0</x:v>
      </x:c>
      <x:c r="G1480" s="25" t="n">
        <x:v>0.126795</x:v>
      </x:c>
      <x:c r="H1480" t="n">
        <x:f>IF(G1480&lt;$B$6,1,0)</x:f>
        <x:v>1</x:v>
      </x:c>
      <x:c r="I1480" s="26" t="n">
        <x:f>H1480*IF(F1480=0,E1480*$B$7,-E1480*$B$8)</x:f>
        <x:v>645.396</x:v>
      </x:c>
    </x:row>
    <x:row r="1481">
      <x:c r="A1481" t="n">
        <x:v>6451</x:v>
      </x:c>
      <x:c r="B1481" t="str">
        <x:v>2024-10</x:v>
      </x:c>
      <x:c r="C1481" t="str">
        <x:v>Salaried</x:v>
      </x:c>
      <x:c r="D1481" t="str">
        <x:v>Group B</x:v>
      </x:c>
      <x:c r="E1481" s="26" t="n">
        <x:v>75000</x:v>
      </x:c>
      <x:c r="F1481" t="n">
        <x:v>0</x:v>
      </x:c>
      <x:c r="G1481" s="25" t="n">
        <x:v>0.21136</x:v>
      </x:c>
      <x:c r="H1481" t="n">
        <x:f>IF(G1481&lt;$B$6,1,0)</x:f>
        <x:v>0</x:v>
      </x:c>
      <x:c r="I1481" s="26" t="n">
        <x:f>H1481*IF(F1481=0,E1481*$B$7,-E1481*$B$8)</x:f>
        <x:v>0</x:v>
      </x:c>
    </x:row>
    <x:row r="1482">
      <x:c r="A1482" t="n">
        <x:v>6465</x:v>
      </x:c>
      <x:c r="B1482" t="str">
        <x:v>2024-10</x:v>
      </x:c>
      <x:c r="C1482" t="str">
        <x:v>Salaried</x:v>
      </x:c>
      <x:c r="D1482" t="str">
        <x:v>Group B</x:v>
      </x:c>
      <x:c r="E1482" s="26" t="n">
        <x:v>25997.69</x:v>
      </x:c>
      <x:c r="F1482" t="n">
        <x:v>0</x:v>
      </x:c>
      <x:c r="G1482" s="25" t="n">
        <x:v>0.08858</x:v>
      </x:c>
      <x:c r="H1482" t="n">
        <x:f>IF(G1482&lt;$B$6,1,0)</x:f>
        <x:v>1</x:v>
      </x:c>
      <x:c r="I1482" s="26" t="n">
        <x:f>H1482*IF(F1482=0,E1482*$B$7,-E1482*$B$8)</x:f>
        <x:v>3119.7227999999996</x:v>
      </x:c>
    </x:row>
    <x:row r="1483">
      <x:c r="A1483" t="n">
        <x:v>6509</x:v>
      </x:c>
      <x:c r="B1483" t="str">
        <x:v>2024-10</x:v>
      </x:c>
      <x:c r="C1483" t="str">
        <x:v>Salaried</x:v>
      </x:c>
      <x:c r="D1483" t="str">
        <x:v>Group B</x:v>
      </x:c>
      <x:c r="E1483" s="26" t="n">
        <x:v>10970.09</x:v>
      </x:c>
      <x:c r="F1483" t="n">
        <x:v>1</x:v>
      </x:c>
      <x:c r="G1483" s="25" t="n">
        <x:v>0.113613</x:v>
      </x:c>
      <x:c r="H1483" t="n">
        <x:f>IF(G1483&lt;$B$6,1,0)</x:f>
        <x:v>1</x:v>
      </x:c>
      <x:c r="I1483" s="26" t="n">
        <x:f>H1483*IF(F1483=0,E1483*$B$7,-E1483*$B$8)</x:f>
        <x:v>-7130.5585</x:v>
      </x:c>
    </x:row>
    <x:row r="1484">
      <x:c r="A1484" t="n">
        <x:v>6626</x:v>
      </x:c>
      <x:c r="B1484" t="str">
        <x:v>2024-10</x:v>
      </x:c>
      <x:c r="C1484" t="str">
        <x:v>Self employed</x:v>
      </x:c>
      <x:c r="D1484" t="str">
        <x:v>Group B</x:v>
      </x:c>
      <x:c r="E1484" s="26" t="n">
        <x:v>10306.4</x:v>
      </x:c>
      <x:c r="F1484" t="n">
        <x:v>1</x:v>
      </x:c>
      <x:c r="G1484" s="25" t="n">
        <x:v>0.114641</x:v>
      </x:c>
      <x:c r="H1484" t="n">
        <x:f>IF(G1484&lt;$B$6,1,0)</x:f>
        <x:v>1</x:v>
      </x:c>
      <x:c r="I1484" s="26" t="n">
        <x:f>H1484*IF(F1484=0,E1484*$B$7,-E1484*$B$8)</x:f>
        <x:v>-6699.16</x:v>
      </x:c>
    </x:row>
    <x:row r="1485">
      <x:c r="A1485" t="n">
        <x:v>6639</x:v>
      </x:c>
      <x:c r="B1485" t="str">
        <x:v>2024-10</x:v>
      </x:c>
      <x:c r="C1485" t="str">
        <x:v>Self employed</x:v>
      </x:c>
      <x:c r="D1485" t="str">
        <x:v>Group A</x:v>
      </x:c>
      <x:c r="E1485" s="26" t="n">
        <x:v>49537.49</x:v>
      </x:c>
      <x:c r="F1485" t="n">
        <x:v>1</x:v>
      </x:c>
      <x:c r="G1485" s="25" t="n">
        <x:v>0.467426</x:v>
      </x:c>
      <x:c r="H1485" t="n">
        <x:f>IF(G1485&lt;$B$6,1,0)</x:f>
        <x:v>0</x:v>
      </x:c>
      <x:c r="I1485" s="26" t="n">
        <x:f>H1485*IF(F1485=0,E1485*$B$7,-E1485*$B$8)</x:f>
        <x:v>0</x:v>
      </x:c>
    </x:row>
    <x:row r="1486">
      <x:c r="A1486" t="n">
        <x:v>6655</x:v>
      </x:c>
      <x:c r="B1486" t="str">
        <x:v>2024-10</x:v>
      </x:c>
      <x:c r="C1486" t="str">
        <x:v>Salaried</x:v>
      </x:c>
      <x:c r="D1486" t="str">
        <x:v>Group A</x:v>
      </x:c>
      <x:c r="E1486" s="26" t="n">
        <x:v>15326.21</x:v>
      </x:c>
      <x:c r="F1486" t="n">
        <x:v>1</x:v>
      </x:c>
      <x:c r="G1486" s="25" t="n">
        <x:v>0.220258</x:v>
      </x:c>
      <x:c r="H1486" t="n">
        <x:f>IF(G1486&lt;$B$6,1,0)</x:f>
        <x:v>0</x:v>
      </x:c>
      <x:c r="I1486" s="26" t="n">
        <x:f>H1486*IF(F1486=0,E1486*$B$7,-E1486*$B$8)</x:f>
        <x:v>0</x:v>
      </x:c>
    </x:row>
    <x:row r="1487">
      <x:c r="A1487" t="n">
        <x:v>6659</x:v>
      </x:c>
      <x:c r="B1487" t="str">
        <x:v>2024-10</x:v>
      </x:c>
      <x:c r="C1487" t="str">
        <x:v>Salaried</x:v>
      </x:c>
      <x:c r="D1487" t="str">
        <x:v>Group B</x:v>
      </x:c>
      <x:c r="E1487" s="26" t="n">
        <x:v>17434.68</x:v>
      </x:c>
      <x:c r="F1487" t="n">
        <x:v>1</x:v>
      </x:c>
      <x:c r="G1487" s="25" t="n">
        <x:v>0.299981</x:v>
      </x:c>
      <x:c r="H1487" t="n">
        <x:f>IF(G1487&lt;$B$6,1,0)</x:f>
        <x:v>0</x:v>
      </x:c>
      <x:c r="I1487" s="26" t="n">
        <x:f>H1487*IF(F1487=0,E1487*$B$7,-E1487*$B$8)</x:f>
        <x:v>0</x:v>
      </x:c>
    </x:row>
    <x:row r="1488">
      <x:c r="A1488" t="n">
        <x:v>6706</x:v>
      </x:c>
      <x:c r="B1488" t="str">
        <x:v>2024-10</x:v>
      </x:c>
      <x:c r="C1488" t="str">
        <x:v>Salaried</x:v>
      </x:c>
      <x:c r="D1488" t="str">
        <x:v>Group B</x:v>
      </x:c>
      <x:c r="E1488" s="26" t="n">
        <x:v>2829.98</x:v>
      </x:c>
      <x:c r="F1488" t="n">
        <x:v>1</x:v>
      </x:c>
      <x:c r="G1488" s="25" t="n">
        <x:v>0.150724</x:v>
      </x:c>
      <x:c r="H1488" t="n">
        <x:f>IF(G1488&lt;$B$6,1,0)</x:f>
        <x:v>1</x:v>
      </x:c>
      <x:c r="I1488" s="26" t="n">
        <x:f>H1488*IF(F1488=0,E1488*$B$7,-E1488*$B$8)</x:f>
        <x:v>-1839.487</x:v>
      </x:c>
    </x:row>
    <x:row r="1489">
      <x:c r="A1489" t="n">
        <x:v>6718</x:v>
      </x:c>
      <x:c r="B1489" t="str">
        <x:v>2024-10</x:v>
      </x:c>
      <x:c r="C1489" t="str">
        <x:v>Contract</x:v>
      </x:c>
      <x:c r="D1489" t="str">
        <x:v>Group A</x:v>
      </x:c>
      <x:c r="E1489" s="26" t="n">
        <x:v>3390.51</x:v>
      </x:c>
      <x:c r="F1489" t="n">
        <x:v>0</x:v>
      </x:c>
      <x:c r="G1489" s="25" t="n">
        <x:v>0.447836</x:v>
      </x:c>
      <x:c r="H1489" t="n">
        <x:f>IF(G1489&lt;$B$6,1,0)</x:f>
        <x:v>0</x:v>
      </x:c>
      <x:c r="I1489" s="26" t="n">
        <x:f>H1489*IF(F1489=0,E1489*$B$7,-E1489*$B$8)</x:f>
        <x:v>0</x:v>
      </x:c>
    </x:row>
    <x:row r="1490">
      <x:c r="A1490" t="n">
        <x:v>6739</x:v>
      </x:c>
      <x:c r="B1490" t="str">
        <x:v>2024-10</x:v>
      </x:c>
      <x:c r="C1490" t="str">
        <x:v>Salaried</x:v>
      </x:c>
      <x:c r="D1490" t="str">
        <x:v>Group A</x:v>
      </x:c>
      <x:c r="E1490" s="26" t="n">
        <x:v>11851.14</x:v>
      </x:c>
      <x:c r="F1490" t="n">
        <x:v>0</x:v>
      </x:c>
      <x:c r="G1490" s="25" t="n">
        <x:v>0.263931</x:v>
      </x:c>
      <x:c r="H1490" t="n">
        <x:f>IF(G1490&lt;$B$6,1,0)</x:f>
        <x:v>0</x:v>
      </x:c>
      <x:c r="I1490" s="26" t="n">
        <x:f>H1490*IF(F1490=0,E1490*$B$7,-E1490*$B$8)</x:f>
        <x:v>0</x:v>
      </x:c>
    </x:row>
    <x:row r="1491">
      <x:c r="A1491" t="n">
        <x:v>6742</x:v>
      </x:c>
      <x:c r="B1491" t="str">
        <x:v>2024-10</x:v>
      </x:c>
      <x:c r="C1491" t="str">
        <x:v>Salaried</x:v>
      </x:c>
      <x:c r="D1491" t="str">
        <x:v>Group A</x:v>
      </x:c>
      <x:c r="E1491" s="26" t="n">
        <x:v>24104.62</x:v>
      </x:c>
      <x:c r="F1491" t="n">
        <x:v>0</x:v>
      </x:c>
      <x:c r="G1491" s="25" t="n">
        <x:v>0.103971</x:v>
      </x:c>
      <x:c r="H1491" t="n">
        <x:f>IF(G1491&lt;$B$6,1,0)</x:f>
        <x:v>1</x:v>
      </x:c>
      <x:c r="I1491" s="26" t="n">
        <x:f>H1491*IF(F1491=0,E1491*$B$7,-E1491*$B$8)</x:f>
        <x:v>2892.5544</x:v>
      </x:c>
    </x:row>
    <x:row r="1492">
      <x:c r="A1492" t="n">
        <x:v>6786</x:v>
      </x:c>
      <x:c r="B1492" t="str">
        <x:v>2024-10</x:v>
      </x:c>
      <x:c r="C1492" t="str">
        <x:v>Salaried</x:v>
      </x:c>
      <x:c r="D1492" t="str">
        <x:v>Group B</x:v>
      </x:c>
      <x:c r="E1492" s="26" t="n">
        <x:v>15310.94</x:v>
      </x:c>
      <x:c r="F1492" t="n">
        <x:v>0</x:v>
      </x:c>
      <x:c r="G1492" s="25" t="n">
        <x:v>0.108594</x:v>
      </x:c>
      <x:c r="H1492" t="n">
        <x:f>IF(G1492&lt;$B$6,1,0)</x:f>
        <x:v>1</x:v>
      </x:c>
      <x:c r="I1492" s="26" t="n">
        <x:f>H1492*IF(F1492=0,E1492*$B$7,-E1492*$B$8)</x:f>
        <x:v>1837.3128</x:v>
      </x:c>
    </x:row>
    <x:row r="1493">
      <x:c r="A1493" t="n">
        <x:v>6787</x:v>
      </x:c>
      <x:c r="B1493" t="str">
        <x:v>2024-10</x:v>
      </x:c>
      <x:c r="C1493" t="str">
        <x:v>Salaried</x:v>
      </x:c>
      <x:c r="D1493" t="str">
        <x:v>Group A</x:v>
      </x:c>
      <x:c r="E1493" s="26" t="n">
        <x:v>10493.33</x:v>
      </x:c>
      <x:c r="F1493" t="n">
        <x:v>0</x:v>
      </x:c>
      <x:c r="G1493" s="25" t="n">
        <x:v>0.11483</x:v>
      </x:c>
      <x:c r="H1493" t="n">
        <x:f>IF(G1493&lt;$B$6,1,0)</x:f>
        <x:v>1</x:v>
      </x:c>
      <x:c r="I1493" s="26" t="n">
        <x:f>H1493*IF(F1493=0,E1493*$B$7,-E1493*$B$8)</x:f>
        <x:v>1259.1996</x:v>
      </x:c>
    </x:row>
    <x:row r="1494">
      <x:c r="A1494" t="n">
        <x:v>6848</x:v>
      </x:c>
      <x:c r="B1494" t="str">
        <x:v>2024-10</x:v>
      </x:c>
      <x:c r="C1494" t="str">
        <x:v>Salaried</x:v>
      </x:c>
      <x:c r="D1494" t="str">
        <x:v>Group A</x:v>
      </x:c>
      <x:c r="E1494" s="26" t="n">
        <x:v>3954.43</x:v>
      </x:c>
      <x:c r="F1494" t="n">
        <x:v>1</x:v>
      </x:c>
      <x:c r="G1494" s="25" t="n">
        <x:v>0.559525</x:v>
      </x:c>
      <x:c r="H1494" t="n">
        <x:f>IF(G1494&lt;$B$6,1,0)</x:f>
        <x:v>0</x:v>
      </x:c>
      <x:c r="I1494" s="26" t="n">
        <x:f>H1494*IF(F1494=0,E1494*$B$7,-E1494*$B$8)</x:f>
        <x:v>0</x:v>
      </x:c>
    </x:row>
    <x:row r="1495">
      <x:c r="A1495" t="n">
        <x:v>6860</x:v>
      </x:c>
      <x:c r="B1495" t="str">
        <x:v>2024-10</x:v>
      </x:c>
      <x:c r="C1495" t="str">
        <x:v>Salaried</x:v>
      </x:c>
      <x:c r="D1495" t="str">
        <x:v>Group A</x:v>
      </x:c>
      <x:c r="E1495" s="26" t="n">
        <x:v>11301.59</x:v>
      </x:c>
      <x:c r="F1495" t="n">
        <x:v>1</x:v>
      </x:c>
      <x:c r="G1495" s="25" t="n">
        <x:v>0.285954</x:v>
      </x:c>
      <x:c r="H1495" t="n">
        <x:f>IF(G1495&lt;$B$6,1,0)</x:f>
        <x:v>0</x:v>
      </x:c>
      <x:c r="I1495" s="26" t="n">
        <x:f>H1495*IF(F1495=0,E1495*$B$7,-E1495*$B$8)</x:f>
        <x:v>0</x:v>
      </x:c>
    </x:row>
    <x:row r="1496">
      <x:c r="A1496" t="n">
        <x:v>6923</x:v>
      </x:c>
      <x:c r="B1496" t="str">
        <x:v>2024-10</x:v>
      </x:c>
      <x:c r="C1496" t="str">
        <x:v>Salaried</x:v>
      </x:c>
      <x:c r="D1496" t="str">
        <x:v>Group B</x:v>
      </x:c>
      <x:c r="E1496" s="26" t="n">
        <x:v>26178.76</x:v>
      </x:c>
      <x:c r="F1496" t="n">
        <x:v>0</x:v>
      </x:c>
      <x:c r="G1496" s="25" t="n">
        <x:v>0.11146</x:v>
      </x:c>
      <x:c r="H1496" t="n">
        <x:f>IF(G1496&lt;$B$6,1,0)</x:f>
        <x:v>1</x:v>
      </x:c>
      <x:c r="I1496" s="26" t="n">
        <x:f>H1496*IF(F1496=0,E1496*$B$7,-E1496*$B$8)</x:f>
        <x:v>3141.4511999999995</x:v>
      </x:c>
    </x:row>
    <x:row r="1497">
      <x:c r="A1497" t="n">
        <x:v>6934</x:v>
      </x:c>
      <x:c r="B1497" t="str">
        <x:v>2024-10</x:v>
      </x:c>
      <x:c r="C1497" t="str">
        <x:v>Contract</x:v>
      </x:c>
      <x:c r="D1497" t="str">
        <x:v>Group A</x:v>
      </x:c>
      <x:c r="E1497" s="26" t="n">
        <x:v>7551.79</x:v>
      </x:c>
      <x:c r="F1497" t="n">
        <x:v>1</x:v>
      </x:c>
      <x:c r="G1497" s="25" t="n">
        <x:v>0.131807</x:v>
      </x:c>
      <x:c r="H1497" t="n">
        <x:f>IF(G1497&lt;$B$6,1,0)</x:f>
        <x:v>1</x:v>
      </x:c>
      <x:c r="I1497" s="26" t="n">
        <x:f>H1497*IF(F1497=0,E1497*$B$7,-E1497*$B$8)</x:f>
        <x:v>-4908.663500000001</x:v>
      </x:c>
    </x:row>
    <x:row r="1498">
      <x:c r="A1498" t="n">
        <x:v>6983</x:v>
      </x:c>
      <x:c r="B1498" t="str">
        <x:v>2024-10</x:v>
      </x:c>
      <x:c r="C1498" t="str">
        <x:v>Salaried</x:v>
      </x:c>
      <x:c r="D1498" t="str">
        <x:v>Group A</x:v>
      </x:c>
      <x:c r="E1498" s="26" t="n">
        <x:v>15010.96</x:v>
      </x:c>
      <x:c r="F1498" t="n">
        <x:v>0</x:v>
      </x:c>
      <x:c r="G1498" s="25" t="n">
        <x:v>0.146737</x:v>
      </x:c>
      <x:c r="H1498" t="n">
        <x:f>IF(G1498&lt;$B$6,1,0)</x:f>
        <x:v>1</x:v>
      </x:c>
      <x:c r="I1498" s="26" t="n">
        <x:f>H1498*IF(F1498=0,E1498*$B$7,-E1498*$B$8)</x:f>
        <x:v>1801.3151999999998</x:v>
      </x:c>
    </x:row>
    <x:row r="1499">
      <x:c r="A1499" t="n">
        <x:v>6997</x:v>
      </x:c>
      <x:c r="B1499" t="str">
        <x:v>2024-10</x:v>
      </x:c>
      <x:c r="C1499" t="str">
        <x:v>Salaried</x:v>
      </x:c>
      <x:c r="D1499" t="str">
        <x:v>Group B</x:v>
      </x:c>
      <x:c r="E1499" s="26" t="n">
        <x:v>19328.52</x:v>
      </x:c>
      <x:c r="F1499" t="n">
        <x:v>0</x:v>
      </x:c>
      <x:c r="G1499" s="25" t="n">
        <x:v>0.439079</x:v>
      </x:c>
      <x:c r="H1499" t="n">
        <x:f>IF(G1499&lt;$B$6,1,0)</x:f>
        <x:v>0</x:v>
      </x:c>
      <x:c r="I1499" s="26" t="n">
        <x:f>H1499*IF(F1499=0,E1499*$B$7,-E1499*$B$8)</x:f>
        <x:v>0</x:v>
      </x:c>
    </x:row>
    <x:row r="1500">
      <x:c r="A1500" t="n">
        <x:v>7018</x:v>
      </x:c>
      <x:c r="B1500" t="str">
        <x:v>2024-10</x:v>
      </x:c>
      <x:c r="C1500" t="str">
        <x:v>Salaried</x:v>
      </x:c>
      <x:c r="D1500" t="str">
        <x:v>Group B</x:v>
      </x:c>
      <x:c r="E1500" s="26" t="n">
        <x:v>3214.44</x:v>
      </x:c>
      <x:c r="F1500" t="n">
        <x:v>0</x:v>
      </x:c>
      <x:c r="G1500" s="25" t="n">
        <x:v>0.069366</x:v>
      </x:c>
      <x:c r="H1500" t="n">
        <x:f>IF(G1500&lt;$B$6,1,0)</x:f>
        <x:v>1</x:v>
      </x:c>
      <x:c r="I1500" s="26" t="n">
        <x:f>H1500*IF(F1500=0,E1500*$B$7,-E1500*$B$8)</x:f>
        <x:v>385.7328</x:v>
      </x:c>
    </x:row>
    <x:row r="1501">
      <x:c r="A1501" t="n">
        <x:v>7055</x:v>
      </x:c>
      <x:c r="B1501" t="str">
        <x:v>2024-10</x:v>
      </x:c>
      <x:c r="C1501" t="str">
        <x:v>Salaried</x:v>
      </x:c>
      <x:c r="D1501" t="str">
        <x:v>Group B</x:v>
      </x:c>
      <x:c r="E1501" s="26" t="n">
        <x:v>14237.97</x:v>
      </x:c>
      <x:c r="F1501" t="n">
        <x:v>1</x:v>
      </x:c>
      <x:c r="G1501" s="25" t="n">
        <x:v>0.436845</x:v>
      </x:c>
      <x:c r="H1501" t="n">
        <x:f>IF(G1501&lt;$B$6,1,0)</x:f>
        <x:v>0</x:v>
      </x:c>
      <x:c r="I1501" s="26" t="n">
        <x:f>H1501*IF(F1501=0,E1501*$B$7,-E1501*$B$8)</x:f>
        <x:v>0</x:v>
      </x:c>
    </x:row>
    <x:row r="1502">
      <x:c r="A1502" t="n">
        <x:v>7069</x:v>
      </x:c>
      <x:c r="B1502" t="str">
        <x:v>2024-10</x:v>
      </x:c>
      <x:c r="C1502" t="str">
        <x:v>Self employed</x:v>
      </x:c>
      <x:c r="D1502" t="str">
        <x:v>Group B</x:v>
      </x:c>
      <x:c r="E1502" s="26" t="n">
        <x:v>19362.87</x:v>
      </x:c>
      <x:c r="F1502" t="n">
        <x:v>1</x:v>
      </x:c>
      <x:c r="G1502" s="25" t="n">
        <x:v>0.346042</x:v>
      </x:c>
      <x:c r="H1502" t="n">
        <x:f>IF(G1502&lt;$B$6,1,0)</x:f>
        <x:v>0</x:v>
      </x:c>
      <x:c r="I1502" s="26" t="n">
        <x:f>H1502*IF(F1502=0,E1502*$B$7,-E1502*$B$8)</x:f>
        <x:v>0</x:v>
      </x:c>
    </x:row>
    <x:row r="1503">
      <x:c r="A1503" t="n">
        <x:v>7115</x:v>
      </x:c>
      <x:c r="B1503" t="str">
        <x:v>2024-10</x:v>
      </x:c>
      <x:c r="C1503" t="str">
        <x:v>Salaried</x:v>
      </x:c>
      <x:c r="D1503" t="str">
        <x:v>Group B</x:v>
      </x:c>
      <x:c r="E1503" s="26" t="n">
        <x:v>14226.18</x:v>
      </x:c>
      <x:c r="F1503" t="n">
        <x:v>0</x:v>
      </x:c>
      <x:c r="G1503" s="25" t="n">
        <x:v>0.042873</x:v>
      </x:c>
      <x:c r="H1503" t="n">
        <x:f>IF(G1503&lt;$B$6,1,0)</x:f>
        <x:v>1</x:v>
      </x:c>
      <x:c r="I1503" s="26" t="n">
        <x:f>H1503*IF(F1503=0,E1503*$B$7,-E1503*$B$8)</x:f>
        <x:v>1707.1416</x:v>
      </x:c>
    </x:row>
    <x:row r="1504">
      <x:c r="A1504" t="n">
        <x:v>7125</x:v>
      </x:c>
      <x:c r="B1504" t="str">
        <x:v>2024-10</x:v>
      </x:c>
      <x:c r="C1504" t="str">
        <x:v>Salaried</x:v>
      </x:c>
      <x:c r="D1504" t="str">
        <x:v>Group A</x:v>
      </x:c>
      <x:c r="E1504" s="26" t="n">
        <x:v>27148.47</x:v>
      </x:c>
      <x:c r="F1504" t="n">
        <x:v>0</x:v>
      </x:c>
      <x:c r="G1504" s="25" t="n">
        <x:v>0.129582</x:v>
      </x:c>
      <x:c r="H1504" t="n">
        <x:f>IF(G1504&lt;$B$6,1,0)</x:f>
        <x:v>1</x:v>
      </x:c>
      <x:c r="I1504" s="26" t="n">
        <x:f>H1504*IF(F1504=0,E1504*$B$7,-E1504*$B$8)</x:f>
        <x:v>3257.8164</x:v>
      </x:c>
    </x:row>
    <x:row r="1505">
      <x:c r="A1505" t="n">
        <x:v>7159</x:v>
      </x:c>
      <x:c r="B1505" t="str">
        <x:v>2024-10</x:v>
      </x:c>
      <x:c r="C1505" t="str">
        <x:v>Salaried</x:v>
      </x:c>
      <x:c r="D1505" t="str">
        <x:v>Group A</x:v>
      </x:c>
      <x:c r="E1505" s="26" t="n">
        <x:v>17662.73</x:v>
      </x:c>
      <x:c r="F1505" t="n">
        <x:v>0</x:v>
      </x:c>
      <x:c r="G1505" s="25" t="n">
        <x:v>0.131363</x:v>
      </x:c>
      <x:c r="H1505" t="n">
        <x:f>IF(G1505&lt;$B$6,1,0)</x:f>
        <x:v>1</x:v>
      </x:c>
      <x:c r="I1505" s="26" t="n">
        <x:f>H1505*IF(F1505=0,E1505*$B$7,-E1505*$B$8)</x:f>
        <x:v>2119.5276</x:v>
      </x:c>
    </x:row>
    <x:row r="1506">
      <x:c r="A1506" t="n">
        <x:v>7182</x:v>
      </x:c>
      <x:c r="B1506" t="str">
        <x:v>2024-10</x:v>
      </x:c>
      <x:c r="C1506" t="str">
        <x:v>Salaried</x:v>
      </x:c>
      <x:c r="D1506" t="str">
        <x:v>Group A</x:v>
      </x:c>
      <x:c r="E1506" s="26" t="n">
        <x:v>21487.48</x:v>
      </x:c>
      <x:c r="F1506" t="n">
        <x:v>0</x:v>
      </x:c>
      <x:c r="G1506" s="25" t="n">
        <x:v>0.204504</x:v>
      </x:c>
      <x:c r="H1506" t="n">
        <x:f>IF(G1506&lt;$B$6,1,0)</x:f>
        <x:v>0</x:v>
      </x:c>
      <x:c r="I1506" s="26" t="n">
        <x:f>H1506*IF(F1506=0,E1506*$B$7,-E1506*$B$8)</x:f>
        <x:v>0</x:v>
      </x:c>
    </x:row>
    <x:row r="1507">
      <x:c r="A1507" t="n">
        <x:v>7261</x:v>
      </x:c>
      <x:c r="B1507" t="str">
        <x:v>2024-10</x:v>
      </x:c>
      <x:c r="C1507" t="str">
        <x:v>Salaried</x:v>
      </x:c>
      <x:c r="D1507" t="str">
        <x:v>Group A</x:v>
      </x:c>
      <x:c r="E1507" s="26" t="n">
        <x:v>32871.99</x:v>
      </x:c>
      <x:c r="F1507" t="n">
        <x:v>1</x:v>
      </x:c>
      <x:c r="G1507" s="25" t="n">
        <x:v>0.153445</x:v>
      </x:c>
      <x:c r="H1507" t="n">
        <x:f>IF(G1507&lt;$B$6,1,0)</x:f>
        <x:v>1</x:v>
      </x:c>
      <x:c r="I1507" s="26" t="n">
        <x:f>H1507*IF(F1507=0,E1507*$B$7,-E1507*$B$8)</x:f>
        <x:v>-21366.7935</x:v>
      </x:c>
    </x:row>
    <x:row r="1508">
      <x:c r="A1508" t="n">
        <x:v>7271</x:v>
      </x:c>
      <x:c r="B1508" t="str">
        <x:v>2024-10</x:v>
      </x:c>
      <x:c r="C1508" t="str">
        <x:v>Self employed</x:v>
      </x:c>
      <x:c r="D1508" t="str">
        <x:v>Group A</x:v>
      </x:c>
      <x:c r="E1508" s="26" t="n">
        <x:v>25477.17</x:v>
      </x:c>
      <x:c r="F1508" t="n">
        <x:v>0</x:v>
      </x:c>
      <x:c r="G1508" s="25" t="n">
        <x:v>0.609511</x:v>
      </x:c>
      <x:c r="H1508" t="n">
        <x:f>IF(G1508&lt;$B$6,1,0)</x:f>
        <x:v>0</x:v>
      </x:c>
      <x:c r="I1508" s="26" t="n">
        <x:f>H1508*IF(F1508=0,E1508*$B$7,-E1508*$B$8)</x:f>
        <x:v>0</x:v>
      </x:c>
    </x:row>
    <x:row r="1509">
      <x:c r="A1509" t="n">
        <x:v>7330</x:v>
      </x:c>
      <x:c r="B1509" t="str">
        <x:v>2024-10</x:v>
      </x:c>
      <x:c r="C1509" t="str">
        <x:v>Self employed</x:v>
      </x:c>
      <x:c r="D1509" t="str">
        <x:v>Group B</x:v>
      </x:c>
      <x:c r="E1509" s="26" t="n">
        <x:v>49042.51</x:v>
      </x:c>
      <x:c r="F1509" t="n">
        <x:v>0</x:v>
      </x:c>
      <x:c r="G1509" s="25" t="n">
        <x:v>0.105086</x:v>
      </x:c>
      <x:c r="H1509" t="n">
        <x:f>IF(G1509&lt;$B$6,1,0)</x:f>
        <x:v>1</x:v>
      </x:c>
      <x:c r="I1509" s="26" t="n">
        <x:f>H1509*IF(F1509=0,E1509*$B$7,-E1509*$B$8)</x:f>
        <x:v>5885.1012</x:v>
      </x:c>
    </x:row>
    <x:row r="1510">
      <x:c r="A1510" t="n">
        <x:v>7370</x:v>
      </x:c>
      <x:c r="B1510" t="str">
        <x:v>2024-10</x:v>
      </x:c>
      <x:c r="C1510" t="str">
        <x:v>Salaried</x:v>
      </x:c>
      <x:c r="D1510" t="str">
        <x:v>Group B</x:v>
      </x:c>
      <x:c r="E1510" s="26" t="n">
        <x:v>15450.44</x:v>
      </x:c>
      <x:c r="F1510" t="n">
        <x:v>0</x:v>
      </x:c>
      <x:c r="G1510" s="25" t="n">
        <x:v>0.124568</x:v>
      </x:c>
      <x:c r="H1510" t="n">
        <x:f>IF(G1510&lt;$B$6,1,0)</x:f>
        <x:v>1</x:v>
      </x:c>
      <x:c r="I1510" s="26" t="n">
        <x:f>H1510*IF(F1510=0,E1510*$B$7,-E1510*$B$8)</x:f>
        <x:v>1854.0528</x:v>
      </x:c>
    </x:row>
    <x:row r="1511">
      <x:c r="A1511" t="n">
        <x:v>7392</x:v>
      </x:c>
      <x:c r="B1511" t="str">
        <x:v>2024-10</x:v>
      </x:c>
      <x:c r="C1511" t="str">
        <x:v>Salaried</x:v>
      </x:c>
      <x:c r="D1511" t="str">
        <x:v>Group A</x:v>
      </x:c>
      <x:c r="E1511" s="26" t="n">
        <x:v>20996.1</x:v>
      </x:c>
      <x:c r="F1511" t="n">
        <x:v>0</x:v>
      </x:c>
      <x:c r="G1511" s="25" t="n">
        <x:v>0.321419</x:v>
      </x:c>
      <x:c r="H1511" t="n">
        <x:f>IF(G1511&lt;$B$6,1,0)</x:f>
        <x:v>0</x:v>
      </x:c>
      <x:c r="I1511" s="26" t="n">
        <x:f>H1511*IF(F1511=0,E1511*$B$7,-E1511*$B$8)</x:f>
        <x:v>0</x:v>
      </x:c>
    </x:row>
    <x:row r="1512">
      <x:c r="A1512" t="n">
        <x:v>7406</x:v>
      </x:c>
      <x:c r="B1512" t="str">
        <x:v>2024-10</x:v>
      </x:c>
      <x:c r="C1512" t="str">
        <x:v>Contract</x:v>
      </x:c>
      <x:c r="D1512" t="str">
        <x:v>Group A</x:v>
      </x:c>
      <x:c r="E1512" s="26" t="n">
        <x:v>19063.57</x:v>
      </x:c>
      <x:c r="F1512" t="n">
        <x:v>0</x:v>
      </x:c>
      <x:c r="G1512" s="25" t="n">
        <x:v>0.118642</x:v>
      </x:c>
      <x:c r="H1512" t="n">
        <x:f>IF(G1512&lt;$B$6,1,0)</x:f>
        <x:v>1</x:v>
      </x:c>
      <x:c r="I1512" s="26" t="n">
        <x:f>H1512*IF(F1512=0,E1512*$B$7,-E1512*$B$8)</x:f>
        <x:v>2287.6284</x:v>
      </x:c>
    </x:row>
    <x:row r="1513">
      <x:c r="A1513" t="n">
        <x:v>7409</x:v>
      </x:c>
      <x:c r="B1513" t="str">
        <x:v>2024-10</x:v>
      </x:c>
      <x:c r="C1513" t="str">
        <x:v>Salaried</x:v>
      </x:c>
      <x:c r="D1513" t="str">
        <x:v>Group B</x:v>
      </x:c>
      <x:c r="E1513" s="26" t="n">
        <x:v>14595.45</x:v>
      </x:c>
      <x:c r="F1513" t="n">
        <x:v>0</x:v>
      </x:c>
      <x:c r="G1513" s="25" t="n">
        <x:v>0.040819</x:v>
      </x:c>
      <x:c r="H1513" t="n">
        <x:f>IF(G1513&lt;$B$6,1,0)</x:f>
        <x:v>1</x:v>
      </x:c>
      <x:c r="I1513" s="26" t="n">
        <x:f>H1513*IF(F1513=0,E1513*$B$7,-E1513*$B$8)</x:f>
        <x:v>1751.454</x:v>
      </x:c>
    </x:row>
    <x:row r="1514">
      <x:c r="A1514" t="n">
        <x:v>7459</x:v>
      </x:c>
      <x:c r="B1514" t="str">
        <x:v>2024-10</x:v>
      </x:c>
      <x:c r="C1514" t="str">
        <x:v>Self employed</x:v>
      </x:c>
      <x:c r="D1514" t="str">
        <x:v>Group B</x:v>
      </x:c>
      <x:c r="E1514" s="26" t="n">
        <x:v>24248.35</x:v>
      </x:c>
      <x:c r="F1514" t="n">
        <x:v>0</x:v>
      </x:c>
      <x:c r="G1514" s="25" t="n">
        <x:v>0.130411</x:v>
      </x:c>
      <x:c r="H1514" t="n">
        <x:f>IF(G1514&lt;$B$6,1,0)</x:f>
        <x:v>1</x:v>
      </x:c>
      <x:c r="I1514" s="26" t="n">
        <x:f>H1514*IF(F1514=0,E1514*$B$7,-E1514*$B$8)</x:f>
        <x:v>2909.8019999999997</x:v>
      </x:c>
    </x:row>
    <x:row r="1515">
      <x:c r="A1515" t="n">
        <x:v>7513</x:v>
      </x:c>
      <x:c r="B1515" t="str">
        <x:v>2024-10</x:v>
      </x:c>
      <x:c r="C1515" t="str">
        <x:v>Self employed</x:v>
      </x:c>
      <x:c r="D1515" t="str">
        <x:v>Group B</x:v>
      </x:c>
      <x:c r="E1515" s="26" t="n">
        <x:v>19575.99</x:v>
      </x:c>
      <x:c r="F1515" t="n">
        <x:v>1</x:v>
      </x:c>
      <x:c r="G1515" s="25" t="n">
        <x:v>0.335486</x:v>
      </x:c>
      <x:c r="H1515" t="n">
        <x:f>IF(G1515&lt;$B$6,1,0)</x:f>
        <x:v>0</x:v>
      </x:c>
      <x:c r="I1515" s="26" t="n">
        <x:f>H1515*IF(F1515=0,E1515*$B$7,-E1515*$B$8)</x:f>
        <x:v>0</x:v>
      </x:c>
    </x:row>
    <x:row r="1516">
      <x:c r="A1516" t="n">
        <x:v>7551</x:v>
      </x:c>
      <x:c r="B1516" t="str">
        <x:v>2024-10</x:v>
      </x:c>
      <x:c r="C1516" t="str">
        <x:v>Salaried</x:v>
      </x:c>
      <x:c r="D1516" t="str">
        <x:v>Group A</x:v>
      </x:c>
      <x:c r="E1516" s="26" t="n">
        <x:v>8891.86</x:v>
      </x:c>
      <x:c r="F1516" t="n">
        <x:v>0</x:v>
      </x:c>
      <x:c r="G1516" s="25" t="n">
        <x:v>0.239559</x:v>
      </x:c>
      <x:c r="H1516" t="n">
        <x:f>IF(G1516&lt;$B$6,1,0)</x:f>
        <x:v>0</x:v>
      </x:c>
      <x:c r="I1516" s="26" t="n">
        <x:f>H1516*IF(F1516=0,E1516*$B$7,-E1516*$B$8)</x:f>
        <x:v>0</x:v>
      </x:c>
    </x:row>
    <x:row r="1517">
      <x:c r="A1517" t="n">
        <x:v>7556</x:v>
      </x:c>
      <x:c r="B1517" t="str">
        <x:v>2024-10</x:v>
      </x:c>
      <x:c r="C1517" t="str">
        <x:v>Self employed</x:v>
      </x:c>
      <x:c r="D1517" t="str">
        <x:v>Group A</x:v>
      </x:c>
      <x:c r="E1517" s="26" t="n">
        <x:v>32691.37</x:v>
      </x:c>
      <x:c r="F1517" t="n">
        <x:v>0</x:v>
      </x:c>
      <x:c r="G1517" s="25" t="n">
        <x:v>0.343674</x:v>
      </x:c>
      <x:c r="H1517" t="n">
        <x:f>IF(G1517&lt;$B$6,1,0)</x:f>
        <x:v>0</x:v>
      </x:c>
      <x:c r="I1517" s="26" t="n">
        <x:f>H1517*IF(F1517=0,E1517*$B$7,-E1517*$B$8)</x:f>
        <x:v>0</x:v>
      </x:c>
    </x:row>
    <x:row r="1518">
      <x:c r="A1518" t="n">
        <x:v>7558</x:v>
      </x:c>
      <x:c r="B1518" t="str">
        <x:v>2024-10</x:v>
      </x:c>
      <x:c r="C1518" t="str">
        <x:v>Salaried</x:v>
      </x:c>
      <x:c r="D1518" t="str">
        <x:v>Group A</x:v>
      </x:c>
      <x:c r="E1518" s="26" t="n">
        <x:v>35886.3</x:v>
      </x:c>
      <x:c r="F1518" t="n">
        <x:v>0</x:v>
      </x:c>
      <x:c r="G1518" s="25" t="n">
        <x:v>0.145935</x:v>
      </x:c>
      <x:c r="H1518" t="n">
        <x:f>IF(G1518&lt;$B$6,1,0)</x:f>
        <x:v>1</x:v>
      </x:c>
      <x:c r="I1518" s="26" t="n">
        <x:f>H1518*IF(F1518=0,E1518*$B$7,-E1518*$B$8)</x:f>
        <x:v>4306.356</x:v>
      </x:c>
    </x:row>
    <x:row r="1519">
      <x:c r="A1519" t="n">
        <x:v>7568</x:v>
      </x:c>
      <x:c r="B1519" t="str">
        <x:v>2024-10</x:v>
      </x:c>
      <x:c r="C1519" t="str">
        <x:v>Salaried</x:v>
      </x:c>
      <x:c r="D1519" t="str">
        <x:v>Group B</x:v>
      </x:c>
      <x:c r="E1519" s="26" t="n">
        <x:v>12706.07</x:v>
      </x:c>
      <x:c r="F1519" t="n">
        <x:v>0</x:v>
      </x:c>
      <x:c r="G1519" s="25" t="n">
        <x:v>0.089918</x:v>
      </x:c>
      <x:c r="H1519" t="n">
        <x:f>IF(G1519&lt;$B$6,1,0)</x:f>
        <x:v>1</x:v>
      </x:c>
      <x:c r="I1519" s="26" t="n">
        <x:f>H1519*IF(F1519=0,E1519*$B$7,-E1519*$B$8)</x:f>
        <x:v>1524.7284</x:v>
      </x:c>
    </x:row>
    <x:row r="1520">
      <x:c r="A1520" t="n">
        <x:v>7621</x:v>
      </x:c>
      <x:c r="B1520" t="str">
        <x:v>2024-10</x:v>
      </x:c>
      <x:c r="C1520" t="str">
        <x:v>Salaried</x:v>
      </x:c>
      <x:c r="D1520" t="str">
        <x:v>Group A</x:v>
      </x:c>
      <x:c r="E1520" s="26" t="n">
        <x:v>30521.23</x:v>
      </x:c>
      <x:c r="F1520" t="n">
        <x:v>1</x:v>
      </x:c>
      <x:c r="G1520" s="25" t="n">
        <x:v>0.614473</x:v>
      </x:c>
      <x:c r="H1520" t="n">
        <x:f>IF(G1520&lt;$B$6,1,0)</x:f>
        <x:v>0</x:v>
      </x:c>
      <x:c r="I1520" s="26" t="n">
        <x:f>H1520*IF(F1520=0,E1520*$B$7,-E1520*$B$8)</x:f>
        <x:v>0</x:v>
      </x:c>
    </x:row>
    <x:row r="1521">
      <x:c r="A1521" t="n">
        <x:v>7625</x:v>
      </x:c>
      <x:c r="B1521" t="str">
        <x:v>2024-10</x:v>
      </x:c>
      <x:c r="C1521" t="str">
        <x:v>Self employed</x:v>
      </x:c>
      <x:c r="D1521" t="str">
        <x:v>Group B</x:v>
      </x:c>
      <x:c r="E1521" s="26" t="n">
        <x:v>5267.72</x:v>
      </x:c>
      <x:c r="F1521" t="n">
        <x:v>0</x:v>
      </x:c>
      <x:c r="G1521" s="25" t="n">
        <x:v>0.141092</x:v>
      </x:c>
      <x:c r="H1521" t="n">
        <x:f>IF(G1521&lt;$B$6,1,0)</x:f>
        <x:v>1</x:v>
      </x:c>
      <x:c r="I1521" s="26" t="n">
        <x:f>H1521*IF(F1521=0,E1521*$B$7,-E1521*$B$8)</x:f>
        <x:v>632.1264</x:v>
      </x:c>
    </x:row>
    <x:row r="1522">
      <x:c r="A1522" t="n">
        <x:v>7647</x:v>
      </x:c>
      <x:c r="B1522" t="str">
        <x:v>2024-10</x:v>
      </x:c>
      <x:c r="C1522" t="str">
        <x:v>Salaried</x:v>
      </x:c>
      <x:c r="D1522" t="str">
        <x:v>Group A</x:v>
      </x:c>
      <x:c r="E1522" s="26" t="n">
        <x:v>13885.38</x:v>
      </x:c>
      <x:c r="F1522" t="n">
        <x:v>0</x:v>
      </x:c>
      <x:c r="G1522" s="25" t="n">
        <x:v>0.485627</x:v>
      </x:c>
      <x:c r="H1522" t="n">
        <x:f>IF(G1522&lt;$B$6,1,0)</x:f>
        <x:v>0</x:v>
      </x:c>
      <x:c r="I1522" s="26" t="n">
        <x:f>H1522*IF(F1522=0,E1522*$B$7,-E1522*$B$8)</x:f>
        <x:v>0</x:v>
      </x:c>
    </x:row>
    <x:row r="1523">
      <x:c r="A1523" t="n">
        <x:v>7649</x:v>
      </x:c>
      <x:c r="B1523" t="str">
        <x:v>2024-10</x:v>
      </x:c>
      <x:c r="C1523" t="str">
        <x:v>Salaried</x:v>
      </x:c>
      <x:c r="D1523" t="str">
        <x:v>Group B</x:v>
      </x:c>
      <x:c r="E1523" s="26" t="n">
        <x:v>13073.6</x:v>
      </x:c>
      <x:c r="F1523" t="n">
        <x:v>1</x:v>
      </x:c>
      <x:c r="G1523" s="25" t="n">
        <x:v>0.355697</x:v>
      </x:c>
      <x:c r="H1523" t="n">
        <x:f>IF(G1523&lt;$B$6,1,0)</x:f>
        <x:v>0</x:v>
      </x:c>
      <x:c r="I1523" s="26" t="n">
        <x:f>H1523*IF(F1523=0,E1523*$B$7,-E1523*$B$8)</x:f>
        <x:v>0</x:v>
      </x:c>
    </x:row>
    <x:row r="1524">
      <x:c r="A1524" t="n">
        <x:v>7652</x:v>
      </x:c>
      <x:c r="B1524" t="str">
        <x:v>2024-10</x:v>
      </x:c>
      <x:c r="C1524" t="str">
        <x:v>Self employed</x:v>
      </x:c>
      <x:c r="D1524" t="str">
        <x:v>Group B</x:v>
      </x:c>
      <x:c r="E1524" s="26" t="n">
        <x:v>6098.56</x:v>
      </x:c>
      <x:c r="F1524" t="n">
        <x:v>0</x:v>
      </x:c>
      <x:c r="G1524" s="25" t="n">
        <x:v>0.133122</x:v>
      </x:c>
      <x:c r="H1524" t="n">
        <x:f>IF(G1524&lt;$B$6,1,0)</x:f>
        <x:v>1</x:v>
      </x:c>
      <x:c r="I1524" s="26" t="n">
        <x:f>H1524*IF(F1524=0,E1524*$B$7,-E1524*$B$8)</x:f>
        <x:v>731.8272000000001</x:v>
      </x:c>
    </x:row>
    <x:row r="1525">
      <x:c r="A1525" t="n">
        <x:v>7668</x:v>
      </x:c>
      <x:c r="B1525" t="str">
        <x:v>2024-10</x:v>
      </x:c>
      <x:c r="C1525" t="str">
        <x:v>Self employed</x:v>
      </x:c>
      <x:c r="D1525" t="str">
        <x:v>Group A</x:v>
      </x:c>
      <x:c r="E1525" s="26" t="n">
        <x:v>17682.5</x:v>
      </x:c>
      <x:c r="F1525" t="n">
        <x:v>0</x:v>
      </x:c>
      <x:c r="G1525" s="25" t="n">
        <x:v>0.164131</x:v>
      </x:c>
      <x:c r="H1525" t="n">
        <x:f>IF(G1525&lt;$B$6,1,0)</x:f>
        <x:v>0</x:v>
      </x:c>
      <x:c r="I1525" s="26" t="n">
        <x:f>H1525*IF(F1525=0,E1525*$B$7,-E1525*$B$8)</x:f>
        <x:v>0</x:v>
      </x:c>
    </x:row>
    <x:row r="1526">
      <x:c r="A1526" t="n">
        <x:v>7692</x:v>
      </x:c>
      <x:c r="B1526" t="str">
        <x:v>2024-10</x:v>
      </x:c>
      <x:c r="C1526" t="str">
        <x:v>Salaried</x:v>
      </x:c>
      <x:c r="D1526" t="str">
        <x:v>Group A</x:v>
      </x:c>
      <x:c r="E1526" s="26" t="n">
        <x:v>20356.66</x:v>
      </x:c>
      <x:c r="F1526" t="n">
        <x:v>0</x:v>
      </x:c>
      <x:c r="G1526" s="25" t="n">
        <x:v>0.158761</x:v>
      </x:c>
      <x:c r="H1526" t="n">
        <x:f>IF(G1526&lt;$B$6,1,0)</x:f>
        <x:v>1</x:v>
      </x:c>
      <x:c r="I1526" s="26" t="n">
        <x:f>H1526*IF(F1526=0,E1526*$B$7,-E1526*$B$8)</x:f>
        <x:v>2442.7992</x:v>
      </x:c>
    </x:row>
    <x:row r="1527">
      <x:c r="A1527" t="n">
        <x:v>7695</x:v>
      </x:c>
      <x:c r="B1527" t="str">
        <x:v>2024-10</x:v>
      </x:c>
      <x:c r="C1527" t="str">
        <x:v>Self employed</x:v>
      </x:c>
      <x:c r="D1527" t="str">
        <x:v>Group A</x:v>
      </x:c>
      <x:c r="E1527" s="26" t="n">
        <x:v>34968.69</x:v>
      </x:c>
      <x:c r="F1527" t="n">
        <x:v>1</x:v>
      </x:c>
      <x:c r="G1527" s="25" t="n">
        <x:v>0.506205</x:v>
      </x:c>
      <x:c r="H1527" t="n">
        <x:f>IF(G1527&lt;$B$6,1,0)</x:f>
        <x:v>0</x:v>
      </x:c>
      <x:c r="I1527" s="26" t="n">
        <x:f>H1527*IF(F1527=0,E1527*$B$7,-E1527*$B$8)</x:f>
        <x:v>0</x:v>
      </x:c>
    </x:row>
    <x:row r="1528">
      <x:c r="A1528" t="n">
        <x:v>7696</x:v>
      </x:c>
      <x:c r="B1528" t="str">
        <x:v>2024-10</x:v>
      </x:c>
      <x:c r="C1528" t="str">
        <x:v>Self employed</x:v>
      </x:c>
      <x:c r="D1528" t="str">
        <x:v>Group A</x:v>
      </x:c>
      <x:c r="E1528" s="26" t="n">
        <x:v>9926.98</x:v>
      </x:c>
      <x:c r="F1528" t="n">
        <x:v>0</x:v>
      </x:c>
      <x:c r="G1528" s="25" t="n">
        <x:v>0.136447</x:v>
      </x:c>
      <x:c r="H1528" t="n">
        <x:f>IF(G1528&lt;$B$6,1,0)</x:f>
        <x:v>1</x:v>
      </x:c>
      <x:c r="I1528" s="26" t="n">
        <x:f>H1528*IF(F1528=0,E1528*$B$7,-E1528*$B$8)</x:f>
        <x:v>1191.2376</x:v>
      </x:c>
    </x:row>
    <x:row r="1529">
      <x:c r="A1529" t="n">
        <x:v>7710</x:v>
      </x:c>
      <x:c r="B1529" t="str">
        <x:v>2024-10</x:v>
      </x:c>
      <x:c r="C1529" t="str">
        <x:v>Self employed</x:v>
      </x:c>
      <x:c r="D1529" t="str">
        <x:v>Group B</x:v>
      </x:c>
      <x:c r="E1529" s="26" t="n">
        <x:v>13844.17</x:v>
      </x:c>
      <x:c r="F1529" t="n">
        <x:v>0</x:v>
      </x:c>
      <x:c r="G1529" s="25" t="n">
        <x:v>0.107968</x:v>
      </x:c>
      <x:c r="H1529" t="n">
        <x:f>IF(G1529&lt;$B$6,1,0)</x:f>
        <x:v>1</x:v>
      </x:c>
      <x:c r="I1529" s="26" t="n">
        <x:f>H1529*IF(F1529=0,E1529*$B$7,-E1529*$B$8)</x:f>
        <x:v>1661.3003999999999</x:v>
      </x:c>
    </x:row>
    <x:row r="1530">
      <x:c r="A1530" t="n">
        <x:v>7711</x:v>
      </x:c>
      <x:c r="B1530" t="str">
        <x:v>2024-10</x:v>
      </x:c>
      <x:c r="C1530" t="str">
        <x:v>Salaried</x:v>
      </x:c>
      <x:c r="D1530" t="str">
        <x:v>Group A</x:v>
      </x:c>
      <x:c r="E1530" s="26" t="n">
        <x:v>7724.59</x:v>
      </x:c>
      <x:c r="F1530" t="n">
        <x:v>0</x:v>
      </x:c>
      <x:c r="G1530" s="25" t="n">
        <x:v>0.149042</x:v>
      </x:c>
      <x:c r="H1530" t="n">
        <x:f>IF(G1530&lt;$B$6,1,0)</x:f>
        <x:v>1</x:v>
      </x:c>
      <x:c r="I1530" s="26" t="n">
        <x:f>H1530*IF(F1530=0,E1530*$B$7,-E1530*$B$8)</x:f>
        <x:v>926.9508</x:v>
      </x:c>
    </x:row>
    <x:row r="1531">
      <x:c r="A1531" t="n">
        <x:v>7722</x:v>
      </x:c>
      <x:c r="B1531" t="str">
        <x:v>2024-10</x:v>
      </x:c>
      <x:c r="C1531" t="str">
        <x:v>Salaried</x:v>
      </x:c>
      <x:c r="D1531" t="str">
        <x:v>Group B</x:v>
      </x:c>
      <x:c r="E1531" s="26" t="n">
        <x:v>58571.61</x:v>
      </x:c>
      <x:c r="F1531" t="n">
        <x:v>1</x:v>
      </x:c>
      <x:c r="G1531" s="25" t="n">
        <x:v>0.952125</x:v>
      </x:c>
      <x:c r="H1531" t="n">
        <x:f>IF(G1531&lt;$B$6,1,0)</x:f>
        <x:v>0</x:v>
      </x:c>
      <x:c r="I1531" s="26" t="n">
        <x:f>H1531*IF(F1531=0,E1531*$B$7,-E1531*$B$8)</x:f>
        <x:v>0</x:v>
      </x:c>
    </x:row>
    <x:row r="1532">
      <x:c r="A1532" t="n">
        <x:v>7740</x:v>
      </x:c>
      <x:c r="B1532" t="str">
        <x:v>2024-10</x:v>
      </x:c>
      <x:c r="C1532" t="str">
        <x:v>Salaried</x:v>
      </x:c>
      <x:c r="D1532" t="str">
        <x:v>Group B</x:v>
      </x:c>
      <x:c r="E1532" s="26" t="n">
        <x:v>16116.76</x:v>
      </x:c>
      <x:c r="F1532" t="n">
        <x:v>0</x:v>
      </x:c>
      <x:c r="G1532" s="25" t="n">
        <x:v>0.027478</x:v>
      </x:c>
      <x:c r="H1532" t="n">
        <x:f>IF(G1532&lt;$B$6,1,0)</x:f>
        <x:v>1</x:v>
      </x:c>
      <x:c r="I1532" s="26" t="n">
        <x:f>H1532*IF(F1532=0,E1532*$B$7,-E1532*$B$8)</x:f>
        <x:v>1934.0112</x:v>
      </x:c>
    </x:row>
    <x:row r="1533">
      <x:c r="A1533" t="n">
        <x:v>7744</x:v>
      </x:c>
      <x:c r="B1533" t="str">
        <x:v>2024-10</x:v>
      </x:c>
      <x:c r="C1533" t="str">
        <x:v>Salaried</x:v>
      </x:c>
      <x:c r="D1533" t="str">
        <x:v>Group A</x:v>
      </x:c>
      <x:c r="E1533" s="26" t="n">
        <x:v>13178.04</x:v>
      </x:c>
      <x:c r="F1533" t="n">
        <x:v>0</x:v>
      </x:c>
      <x:c r="G1533" s="25" t="n">
        <x:v>0.205429</x:v>
      </x:c>
      <x:c r="H1533" t="n">
        <x:f>IF(G1533&lt;$B$6,1,0)</x:f>
        <x:v>0</x:v>
      </x:c>
      <x:c r="I1533" s="26" t="n">
        <x:f>H1533*IF(F1533=0,E1533*$B$7,-E1533*$B$8)</x:f>
        <x:v>0</x:v>
      </x:c>
    </x:row>
    <x:row r="1534">
      <x:c r="A1534" t="n">
        <x:v>7780</x:v>
      </x:c>
      <x:c r="B1534" t="str">
        <x:v>2024-10</x:v>
      </x:c>
      <x:c r="C1534" t="str">
        <x:v>Self employed</x:v>
      </x:c>
      <x:c r="D1534" t="str">
        <x:v>Group B</x:v>
      </x:c>
      <x:c r="E1534" s="26" t="n">
        <x:v>5984.54</x:v>
      </x:c>
      <x:c r="F1534" t="n">
        <x:v>1</x:v>
      </x:c>
      <x:c r="G1534" s="25" t="n">
        <x:v>0.187075</x:v>
      </x:c>
      <x:c r="H1534" t="n">
        <x:f>IF(G1534&lt;$B$6,1,0)</x:f>
        <x:v>0</x:v>
      </x:c>
      <x:c r="I1534" s="26" t="n">
        <x:f>H1534*IF(F1534=0,E1534*$B$7,-E1534*$B$8)</x:f>
        <x:v>0</x:v>
      </x:c>
    </x:row>
    <x:row r="1535">
      <x:c r="A1535" t="n">
        <x:v>7816</x:v>
      </x:c>
      <x:c r="B1535" t="str">
        <x:v>2024-10</x:v>
      </x:c>
      <x:c r="C1535" t="str">
        <x:v>Salaried</x:v>
      </x:c>
      <x:c r="D1535" t="str">
        <x:v>Group A</x:v>
      </x:c>
      <x:c r="E1535" s="26" t="n">
        <x:v>15238.98</x:v>
      </x:c>
      <x:c r="F1535" t="n">
        <x:v>0</x:v>
      </x:c>
      <x:c r="G1535" s="25" t="n">
        <x:v>0.077827</x:v>
      </x:c>
      <x:c r="H1535" t="n">
        <x:f>IF(G1535&lt;$B$6,1,0)</x:f>
        <x:v>1</x:v>
      </x:c>
      <x:c r="I1535" s="26" t="n">
        <x:f>H1535*IF(F1535=0,E1535*$B$7,-E1535*$B$8)</x:f>
        <x:v>1828.6776</x:v>
      </x:c>
    </x:row>
    <x:row r="1536">
      <x:c r="A1536" t="n">
        <x:v>7868</x:v>
      </x:c>
      <x:c r="B1536" t="str">
        <x:v>2024-10</x:v>
      </x:c>
      <x:c r="C1536" t="str">
        <x:v>Salaried</x:v>
      </x:c>
      <x:c r="D1536" t="str">
        <x:v>Group B</x:v>
      </x:c>
      <x:c r="E1536" s="26" t="n">
        <x:v>28224.12</x:v>
      </x:c>
      <x:c r="F1536" t="n">
        <x:v>1</x:v>
      </x:c>
      <x:c r="G1536" s="25" t="n">
        <x:v>0.244484</x:v>
      </x:c>
      <x:c r="H1536" t="n">
        <x:f>IF(G1536&lt;$B$6,1,0)</x:f>
        <x:v>0</x:v>
      </x:c>
      <x:c r="I1536" s="26" t="n">
        <x:f>H1536*IF(F1536=0,E1536*$B$7,-E1536*$B$8)</x:f>
        <x:v>0</x:v>
      </x:c>
    </x:row>
    <x:row r="1537">
      <x:c r="A1537" t="n">
        <x:v>7903</x:v>
      </x:c>
      <x:c r="B1537" t="str">
        <x:v>2024-10</x:v>
      </x:c>
      <x:c r="C1537" t="str">
        <x:v>Salaried</x:v>
      </x:c>
      <x:c r="D1537" t="str">
        <x:v>Group A</x:v>
      </x:c>
      <x:c r="E1537" s="26" t="n">
        <x:v>20891.94</x:v>
      </x:c>
      <x:c r="F1537" t="n">
        <x:v>1</x:v>
      </x:c>
      <x:c r="G1537" s="25" t="n">
        <x:v>0.084023</x:v>
      </x:c>
      <x:c r="H1537" t="n">
        <x:f>IF(G1537&lt;$B$6,1,0)</x:f>
        <x:v>1</x:v>
      </x:c>
      <x:c r="I1537" s="26" t="n">
        <x:f>H1537*IF(F1537=0,E1537*$B$7,-E1537*$B$8)</x:f>
        <x:v>-13579.761</x:v>
      </x:c>
    </x:row>
    <x:row r="1538">
      <x:c r="A1538" t="n">
        <x:v>7913</x:v>
      </x:c>
      <x:c r="B1538" t="str">
        <x:v>2024-10</x:v>
      </x:c>
      <x:c r="C1538" t="str">
        <x:v>Salaried</x:v>
      </x:c>
      <x:c r="D1538" t="str">
        <x:v>Group B</x:v>
      </x:c>
      <x:c r="E1538" s="26" t="n">
        <x:v>5939.63</x:v>
      </x:c>
      <x:c r="F1538" t="n">
        <x:v>0</x:v>
      </x:c>
      <x:c r="G1538" s="25" t="n">
        <x:v>0.496119</x:v>
      </x:c>
      <x:c r="H1538" t="n">
        <x:f>IF(G1538&lt;$B$6,1,0)</x:f>
        <x:v>0</x:v>
      </x:c>
      <x:c r="I1538" s="26" t="n">
        <x:f>H1538*IF(F1538=0,E1538*$B$7,-E1538*$B$8)</x:f>
        <x:v>0</x:v>
      </x:c>
    </x:row>
    <x:row r="1539">
      <x:c r="A1539" t="n">
        <x:v>7916</x:v>
      </x:c>
      <x:c r="B1539" t="str">
        <x:v>2024-10</x:v>
      </x:c>
      <x:c r="C1539" t="str">
        <x:v>Contract</x:v>
      </x:c>
      <x:c r="D1539" t="str">
        <x:v>Group B</x:v>
      </x:c>
      <x:c r="E1539" s="26" t="n">
        <x:v>37761.43</x:v>
      </x:c>
      <x:c r="F1539" t="n">
        <x:v>0</x:v>
      </x:c>
      <x:c r="G1539" s="25" t="n">
        <x:v>0.36255</x:v>
      </x:c>
      <x:c r="H1539" t="n">
        <x:f>IF(G1539&lt;$B$6,1,0)</x:f>
        <x:v>0</x:v>
      </x:c>
      <x:c r="I1539" s="26" t="n">
        <x:f>H1539*IF(F1539=0,E1539*$B$7,-E1539*$B$8)</x:f>
        <x:v>0</x:v>
      </x:c>
    </x:row>
    <x:row r="1540">
      <x:c r="A1540" t="n">
        <x:v>7932</x:v>
      </x:c>
      <x:c r="B1540" t="str">
        <x:v>2024-10</x:v>
      </x:c>
      <x:c r="C1540" t="str">
        <x:v>Salaried</x:v>
      </x:c>
      <x:c r="D1540" t="str">
        <x:v>Group B</x:v>
      </x:c>
      <x:c r="E1540" s="26" t="n">
        <x:v>36302.01</x:v>
      </x:c>
      <x:c r="F1540" t="n">
        <x:v>0</x:v>
      </x:c>
      <x:c r="G1540" s="25" t="n">
        <x:v>0.214773</x:v>
      </x:c>
      <x:c r="H1540" t="n">
        <x:f>IF(G1540&lt;$B$6,1,0)</x:f>
        <x:v>0</x:v>
      </x:c>
      <x:c r="I1540" s="26" t="n">
        <x:f>H1540*IF(F1540=0,E1540*$B$7,-E1540*$B$8)</x:f>
        <x:v>0</x:v>
      </x:c>
    </x:row>
    <x:row r="1541">
      <x:c r="A1541" t="n">
        <x:v>7953</x:v>
      </x:c>
      <x:c r="B1541" t="str">
        <x:v>2024-10</x:v>
      </x:c>
      <x:c r="C1541" t="str">
        <x:v>Salaried</x:v>
      </x:c>
      <x:c r="D1541" t="str">
        <x:v>Group A</x:v>
      </x:c>
      <x:c r="E1541" s="26" t="n">
        <x:v>15629.77</x:v>
      </x:c>
      <x:c r="F1541" t="n">
        <x:v>0</x:v>
      </x:c>
      <x:c r="G1541" s="25" t="n">
        <x:v>0.044823</x:v>
      </x:c>
      <x:c r="H1541" t="n">
        <x:f>IF(G1541&lt;$B$6,1,0)</x:f>
        <x:v>1</x:v>
      </x:c>
      <x:c r="I1541" s="26" t="n">
        <x:f>H1541*IF(F1541=0,E1541*$B$7,-E1541*$B$8)</x:f>
        <x:v>1875.5724</x:v>
      </x:c>
    </x:row>
    <x:row r="1542">
      <x:c r="A1542" t="n">
        <x:v>7998</x:v>
      </x:c>
      <x:c r="B1542" t="str">
        <x:v>2024-10</x:v>
      </x:c>
      <x:c r="C1542" t="str">
        <x:v>Self employed</x:v>
      </x:c>
      <x:c r="D1542" t="str">
        <x:v>Group A</x:v>
      </x:c>
      <x:c r="E1542" s="26" t="n">
        <x:v>19365.64</x:v>
      </x:c>
      <x:c r="F1542" t="n">
        <x:v>0</x:v>
      </x:c>
      <x:c r="G1542" s="25" t="n">
        <x:v>0.509299</x:v>
      </x:c>
      <x:c r="H1542" t="n">
        <x:f>IF(G1542&lt;$B$6,1,0)</x:f>
        <x:v>0</x:v>
      </x:c>
      <x:c r="I1542" s="26" t="n">
        <x:f>H1542*IF(F1542=0,E1542*$B$7,-E1542*$B$8)</x:f>
        <x:v>0</x:v>
      </x:c>
    </x:row>
    <x:row r="1543">
      <x:c r="A1543" t="n">
        <x:v>8027</x:v>
      </x:c>
      <x:c r="B1543" t="str">
        <x:v>2024-10</x:v>
      </x:c>
      <x:c r="C1543" t="str">
        <x:v>Self employed</x:v>
      </x:c>
      <x:c r="D1543" t="str">
        <x:v>Group B</x:v>
      </x:c>
      <x:c r="E1543" s="26" t="n">
        <x:v>15293.91</x:v>
      </x:c>
      <x:c r="F1543" t="n">
        <x:v>0</x:v>
      </x:c>
      <x:c r="G1543" s="25" t="n">
        <x:v>0.162327</x:v>
      </x:c>
      <x:c r="H1543" t="n">
        <x:f>IF(G1543&lt;$B$6,1,0)</x:f>
        <x:v>0</x:v>
      </x:c>
      <x:c r="I1543" s="26" t="n">
        <x:f>H1543*IF(F1543=0,E1543*$B$7,-E1543*$B$8)</x:f>
        <x:v>0</x:v>
      </x:c>
    </x:row>
    <x:row r="1544">
      <x:c r="A1544" t="n">
        <x:v>8053</x:v>
      </x:c>
      <x:c r="B1544" t="str">
        <x:v>2024-10</x:v>
      </x:c>
      <x:c r="C1544" t="str">
        <x:v>Contract</x:v>
      </x:c>
      <x:c r="D1544" t="str">
        <x:v>Group A</x:v>
      </x:c>
      <x:c r="E1544" s="26" t="n">
        <x:v>17366.77</x:v>
      </x:c>
      <x:c r="F1544" t="n">
        <x:v>0</x:v>
      </x:c>
      <x:c r="G1544" s="25" t="n">
        <x:v>0.445019</x:v>
      </x:c>
      <x:c r="H1544" t="n">
        <x:f>IF(G1544&lt;$B$6,1,0)</x:f>
        <x:v>0</x:v>
      </x:c>
      <x:c r="I1544" s="26" t="n">
        <x:f>H1544*IF(F1544=0,E1544*$B$7,-E1544*$B$8)</x:f>
        <x:v>0</x:v>
      </x:c>
    </x:row>
    <x:row r="1545">
      <x:c r="A1545" t="n">
        <x:v>8057</x:v>
      </x:c>
      <x:c r="B1545" t="str">
        <x:v>2024-10</x:v>
      </x:c>
      <x:c r="C1545" t="str">
        <x:v>Salaried</x:v>
      </x:c>
      <x:c r="D1545" t="str">
        <x:v>Group A</x:v>
      </x:c>
      <x:c r="E1545" s="26" t="n">
        <x:v>36962.21</x:v>
      </x:c>
      <x:c r="F1545" t="n">
        <x:v>0</x:v>
      </x:c>
      <x:c r="G1545" s="25" t="n">
        <x:v>0.273326</x:v>
      </x:c>
      <x:c r="H1545" t="n">
        <x:f>IF(G1545&lt;$B$6,1,0)</x:f>
        <x:v>0</x:v>
      </x:c>
      <x:c r="I1545" s="26" t="n">
        <x:f>H1545*IF(F1545=0,E1545*$B$7,-E1545*$B$8)</x:f>
        <x:v>0</x:v>
      </x:c>
    </x:row>
    <x:row r="1546">
      <x:c r="A1546" t="n">
        <x:v>8059</x:v>
      </x:c>
      <x:c r="B1546" t="str">
        <x:v>2024-10</x:v>
      </x:c>
      <x:c r="C1546" t="str">
        <x:v>Salaried</x:v>
      </x:c>
      <x:c r="D1546" t="str">
        <x:v>Group A</x:v>
      </x:c>
      <x:c r="E1546" s="26" t="n">
        <x:v>17274.05</x:v>
      </x:c>
      <x:c r="F1546" t="n">
        <x:v>0</x:v>
      </x:c>
      <x:c r="G1546" s="25" t="n">
        <x:v>0.017897</x:v>
      </x:c>
      <x:c r="H1546" t="n">
        <x:f>IF(G1546&lt;$B$6,1,0)</x:f>
        <x:v>1</x:v>
      </x:c>
      <x:c r="I1546" s="26" t="n">
        <x:f>H1546*IF(F1546=0,E1546*$B$7,-E1546*$B$8)</x:f>
        <x:v>2072.886</x:v>
      </x:c>
    </x:row>
    <x:row r="1547">
      <x:c r="A1547" t="n">
        <x:v>8064</x:v>
      </x:c>
      <x:c r="B1547" t="str">
        <x:v>2024-10</x:v>
      </x:c>
      <x:c r="C1547" t="str">
        <x:v>Salaried</x:v>
      </x:c>
      <x:c r="D1547" t="str">
        <x:v>Group A</x:v>
      </x:c>
      <x:c r="E1547" s="26" t="n">
        <x:v>28667.3</x:v>
      </x:c>
      <x:c r="F1547" t="n">
        <x:v>0</x:v>
      </x:c>
      <x:c r="G1547" s="25" t="n">
        <x:v>0.124446</x:v>
      </x:c>
      <x:c r="H1547" t="n">
        <x:f>IF(G1547&lt;$B$6,1,0)</x:f>
        <x:v>1</x:v>
      </x:c>
      <x:c r="I1547" s="26" t="n">
        <x:f>H1547*IF(F1547=0,E1547*$B$7,-E1547*$B$8)</x:f>
        <x:v>3440.0759999999996</x:v>
      </x:c>
    </x:row>
    <x:row r="1548">
      <x:c r="A1548" t="n">
        <x:v>8077</x:v>
      </x:c>
      <x:c r="B1548" t="str">
        <x:v>2024-10</x:v>
      </x:c>
      <x:c r="C1548" t="str">
        <x:v>Salaried</x:v>
      </x:c>
      <x:c r="D1548" t="str">
        <x:v>Group A</x:v>
      </x:c>
      <x:c r="E1548" s="26" t="n">
        <x:v>4139.19</x:v>
      </x:c>
      <x:c r="F1548" t="n">
        <x:v>0</x:v>
      </x:c>
      <x:c r="G1548" s="25" t="n">
        <x:v>0.299678</x:v>
      </x:c>
      <x:c r="H1548" t="n">
        <x:f>IF(G1548&lt;$B$6,1,0)</x:f>
        <x:v>0</x:v>
      </x:c>
      <x:c r="I1548" s="26" t="n">
        <x:f>H1548*IF(F1548=0,E1548*$B$7,-E1548*$B$8)</x:f>
        <x:v>0</x:v>
      </x:c>
    </x:row>
    <x:row r="1549">
      <x:c r="A1549" t="n">
        <x:v>8080</x:v>
      </x:c>
      <x:c r="B1549" t="str">
        <x:v>2024-10</x:v>
      </x:c>
      <x:c r="C1549" t="str">
        <x:v>Salaried</x:v>
      </x:c>
      <x:c r="D1549" t="str">
        <x:v>Group A</x:v>
      </x:c>
      <x:c r="E1549" s="26" t="n">
        <x:v>21445</x:v>
      </x:c>
      <x:c r="F1549" t="n">
        <x:v>0</x:v>
      </x:c>
      <x:c r="G1549" s="25" t="n">
        <x:v>0.085523</x:v>
      </x:c>
      <x:c r="H1549" t="n">
        <x:f>IF(G1549&lt;$B$6,1,0)</x:f>
        <x:v>1</x:v>
      </x:c>
      <x:c r="I1549" s="26" t="n">
        <x:f>H1549*IF(F1549=0,E1549*$B$7,-E1549*$B$8)</x:f>
        <x:v>2573.4</x:v>
      </x:c>
    </x:row>
    <x:row r="1550">
      <x:c r="A1550" t="n">
        <x:v>8090</x:v>
      </x:c>
      <x:c r="B1550" t="str">
        <x:v>2024-10</x:v>
      </x:c>
      <x:c r="C1550" t="str">
        <x:v>Contract</x:v>
      </x:c>
      <x:c r="D1550" t="str">
        <x:v>Group A</x:v>
      </x:c>
      <x:c r="E1550" s="26" t="n">
        <x:v>17508.55</x:v>
      </x:c>
      <x:c r="F1550" t="n">
        <x:v>0</x:v>
      </x:c>
      <x:c r="G1550" s="25" t="n">
        <x:v>0.109403</x:v>
      </x:c>
      <x:c r="H1550" t="n">
        <x:f>IF(G1550&lt;$B$6,1,0)</x:f>
        <x:v>1</x:v>
      </x:c>
      <x:c r="I1550" s="26" t="n">
        <x:f>H1550*IF(F1550=0,E1550*$B$7,-E1550*$B$8)</x:f>
        <x:v>2101.026</x:v>
      </x:c>
    </x:row>
    <x:row r="1551">
      <x:c r="A1551" t="n">
        <x:v>8115</x:v>
      </x:c>
      <x:c r="B1551" t="str">
        <x:v>2024-10</x:v>
      </x:c>
      <x:c r="C1551" t="str">
        <x:v>Salaried</x:v>
      </x:c>
      <x:c r="D1551" t="str">
        <x:v>Group A</x:v>
      </x:c>
      <x:c r="E1551" s="26" t="n">
        <x:v>30100.21</x:v>
      </x:c>
      <x:c r="F1551" t="n">
        <x:v>0</x:v>
      </x:c>
      <x:c r="G1551" s="25" t="n">
        <x:v>0.301192</x:v>
      </x:c>
      <x:c r="H1551" t="n">
        <x:f>IF(G1551&lt;$B$6,1,0)</x:f>
        <x:v>0</x:v>
      </x:c>
      <x:c r="I1551" s="26" t="n">
        <x:f>H1551*IF(F1551=0,E1551*$B$7,-E1551*$B$8)</x:f>
        <x:v>0</x:v>
      </x:c>
    </x:row>
    <x:row r="1552">
      <x:c r="A1552" t="n">
        <x:v>8130</x:v>
      </x:c>
      <x:c r="B1552" t="str">
        <x:v>2024-10</x:v>
      </x:c>
      <x:c r="C1552" t="str">
        <x:v>Salaried</x:v>
      </x:c>
      <x:c r="D1552" t="str">
        <x:v>Group B</x:v>
      </x:c>
      <x:c r="E1552" s="26" t="n">
        <x:v>27430.89</x:v>
      </x:c>
      <x:c r="F1552" t="n">
        <x:v>1</x:v>
      </x:c>
      <x:c r="G1552" s="25" t="n">
        <x:v>0.182994</x:v>
      </x:c>
      <x:c r="H1552" t="n">
        <x:f>IF(G1552&lt;$B$6,1,0)</x:f>
        <x:v>0</x:v>
      </x:c>
      <x:c r="I1552" s="26" t="n">
        <x:f>H1552*IF(F1552=0,E1552*$B$7,-E1552*$B$8)</x:f>
        <x:v>0</x:v>
      </x:c>
    </x:row>
    <x:row r="1553">
      <x:c r="A1553" t="n">
        <x:v>8207</x:v>
      </x:c>
      <x:c r="B1553" t="str">
        <x:v>2024-10</x:v>
      </x:c>
      <x:c r="C1553" t="str">
        <x:v>Salaried</x:v>
      </x:c>
      <x:c r="D1553" t="str">
        <x:v>Group A</x:v>
      </x:c>
      <x:c r="E1553" s="26" t="n">
        <x:v>13104.5</x:v>
      </x:c>
      <x:c r="F1553" t="n">
        <x:v>0</x:v>
      </x:c>
      <x:c r="G1553" s="25" t="n">
        <x:v>0.133735</x:v>
      </x:c>
      <x:c r="H1553" t="n">
        <x:f>IF(G1553&lt;$B$6,1,0)</x:f>
        <x:v>1</x:v>
      </x:c>
      <x:c r="I1553" s="26" t="n">
        <x:f>H1553*IF(F1553=0,E1553*$B$7,-E1553*$B$8)</x:f>
        <x:v>1572.54</x:v>
      </x:c>
    </x:row>
    <x:row r="1554">
      <x:c r="A1554" t="n">
        <x:v>8279</x:v>
      </x:c>
      <x:c r="B1554" t="str">
        <x:v>2024-10</x:v>
      </x:c>
      <x:c r="C1554" t="str">
        <x:v>Salaried</x:v>
      </x:c>
      <x:c r="D1554" t="str">
        <x:v>Group B</x:v>
      </x:c>
      <x:c r="E1554" s="26" t="n">
        <x:v>14471.35</x:v>
      </x:c>
      <x:c r="F1554" t="n">
        <x:v>0</x:v>
      </x:c>
      <x:c r="G1554" s="25" t="n">
        <x:v>0.041614</x:v>
      </x:c>
      <x:c r="H1554" t="n">
        <x:f>IF(G1554&lt;$B$6,1,0)</x:f>
        <x:v>1</x:v>
      </x:c>
      <x:c r="I1554" s="26" t="n">
        <x:f>H1554*IF(F1554=0,E1554*$B$7,-E1554*$B$8)</x:f>
        <x:v>1736.562</x:v>
      </x:c>
    </x:row>
    <x:row r="1555">
      <x:c r="A1555" t="n">
        <x:v>8289</x:v>
      </x:c>
      <x:c r="B1555" t="str">
        <x:v>2024-10</x:v>
      </x:c>
      <x:c r="C1555" t="str">
        <x:v>Salaried</x:v>
      </x:c>
      <x:c r="D1555" t="str">
        <x:v>Group B</x:v>
      </x:c>
      <x:c r="E1555" s="26" t="n">
        <x:v>44678.9</x:v>
      </x:c>
      <x:c r="F1555" t="n">
        <x:v>1</x:v>
      </x:c>
      <x:c r="G1555" s="25" t="n">
        <x:v>0.260756</x:v>
      </x:c>
      <x:c r="H1555" t="n">
        <x:f>IF(G1555&lt;$B$6,1,0)</x:f>
        <x:v>0</x:v>
      </x:c>
      <x:c r="I1555" s="26" t="n">
        <x:f>H1555*IF(F1555=0,E1555*$B$7,-E1555*$B$8)</x:f>
        <x:v>0</x:v>
      </x:c>
    </x:row>
    <x:row r="1556">
      <x:c r="A1556" t="n">
        <x:v>8309</x:v>
      </x:c>
      <x:c r="B1556" t="str">
        <x:v>2024-10</x:v>
      </x:c>
      <x:c r="C1556" t="str">
        <x:v>Self employed</x:v>
      </x:c>
      <x:c r="D1556" t="str">
        <x:v>Group B</x:v>
      </x:c>
      <x:c r="E1556" s="26" t="n">
        <x:v>3723.03</x:v>
      </x:c>
      <x:c r="F1556" t="n">
        <x:v>0</x:v>
      </x:c>
      <x:c r="G1556" s="25" t="n">
        <x:v>0.14912</x:v>
      </x:c>
      <x:c r="H1556" t="n">
        <x:f>IF(G1556&lt;$B$6,1,0)</x:f>
        <x:v>1</x:v>
      </x:c>
      <x:c r="I1556" s="26" t="n">
        <x:f>H1556*IF(F1556=0,E1556*$B$7,-E1556*$B$8)</x:f>
        <x:v>446.7636</x:v>
      </x:c>
    </x:row>
    <x:row r="1557">
      <x:c r="A1557" t="n">
        <x:v>8335</x:v>
      </x:c>
      <x:c r="B1557" t="str">
        <x:v>2024-10</x:v>
      </x:c>
      <x:c r="C1557" t="str">
        <x:v>Self employed</x:v>
      </x:c>
      <x:c r="D1557" t="str">
        <x:v>Group B</x:v>
      </x:c>
      <x:c r="E1557" s="26" t="n">
        <x:v>9112.21</x:v>
      </x:c>
      <x:c r="F1557" t="n">
        <x:v>0</x:v>
      </x:c>
      <x:c r="G1557" s="25" t="n">
        <x:v>0.252202</x:v>
      </x:c>
      <x:c r="H1557" t="n">
        <x:f>IF(G1557&lt;$B$6,1,0)</x:f>
        <x:v>0</x:v>
      </x:c>
      <x:c r="I1557" s="26" t="n">
        <x:f>H1557*IF(F1557=0,E1557*$B$7,-E1557*$B$8)</x:f>
        <x:v>0</x:v>
      </x:c>
    </x:row>
    <x:row r="1558">
      <x:c r="A1558" t="n">
        <x:v>8337</x:v>
      </x:c>
      <x:c r="B1558" t="str">
        <x:v>2024-10</x:v>
      </x:c>
      <x:c r="C1558" t="str">
        <x:v>Salaried</x:v>
      </x:c>
      <x:c r="D1558" t="str">
        <x:v>Group A</x:v>
      </x:c>
      <x:c r="E1558" s="26" t="n">
        <x:v>13377.14</x:v>
      </x:c>
      <x:c r="F1558" t="n">
        <x:v>0</x:v>
      </x:c>
      <x:c r="G1558" s="25" t="n">
        <x:v>0.090082</x:v>
      </x:c>
      <x:c r="H1558" t="n">
        <x:f>IF(G1558&lt;$B$6,1,0)</x:f>
        <x:v>1</x:v>
      </x:c>
      <x:c r="I1558" s="26" t="n">
        <x:f>H1558*IF(F1558=0,E1558*$B$7,-E1558*$B$8)</x:f>
        <x:v>1605.2567999999999</x:v>
      </x:c>
    </x:row>
    <x:row r="1559">
      <x:c r="A1559" t="n">
        <x:v>8383</x:v>
      </x:c>
      <x:c r="B1559" t="str">
        <x:v>2024-10</x:v>
      </x:c>
      <x:c r="C1559" t="str">
        <x:v>Salaried</x:v>
      </x:c>
      <x:c r="D1559" t="str">
        <x:v>Group A</x:v>
      </x:c>
      <x:c r="E1559" s="26" t="n">
        <x:v>11617.77</x:v>
      </x:c>
      <x:c r="F1559" t="n">
        <x:v>0</x:v>
      </x:c>
      <x:c r="G1559" s="25" t="n">
        <x:v>0.302408</x:v>
      </x:c>
      <x:c r="H1559" t="n">
        <x:f>IF(G1559&lt;$B$6,1,0)</x:f>
        <x:v>0</x:v>
      </x:c>
      <x:c r="I1559" s="26" t="n">
        <x:f>H1559*IF(F1559=0,E1559*$B$7,-E1559*$B$8)</x:f>
        <x:v>0</x:v>
      </x:c>
    </x:row>
    <x:row r="1560">
      <x:c r="A1560" t="n">
        <x:v>8463</x:v>
      </x:c>
      <x:c r="B1560" t="str">
        <x:v>2024-10</x:v>
      </x:c>
      <x:c r="C1560" t="str">
        <x:v>Salaried</x:v>
      </x:c>
      <x:c r="D1560" t="str">
        <x:v>Group A</x:v>
      </x:c>
      <x:c r="E1560" s="26" t="n">
        <x:v>14101.97</x:v>
      </x:c>
      <x:c r="F1560" t="n">
        <x:v>0</x:v>
      </x:c>
      <x:c r="G1560" s="25" t="n">
        <x:v>0.124047</x:v>
      </x:c>
      <x:c r="H1560" t="n">
        <x:f>IF(G1560&lt;$B$6,1,0)</x:f>
        <x:v>1</x:v>
      </x:c>
      <x:c r="I1560" s="26" t="n">
        <x:f>H1560*IF(F1560=0,E1560*$B$7,-E1560*$B$8)</x:f>
        <x:v>1692.2363999999998</x:v>
      </x:c>
    </x:row>
    <x:row r="1561">
      <x:c r="A1561" t="n">
        <x:v>8469</x:v>
      </x:c>
      <x:c r="B1561" t="str">
        <x:v>2024-10</x:v>
      </x:c>
      <x:c r="C1561" t="str">
        <x:v>Salaried</x:v>
      </x:c>
      <x:c r="D1561" t="str">
        <x:v>Group B</x:v>
      </x:c>
      <x:c r="E1561" s="26" t="n">
        <x:v>11912.53</x:v>
      </x:c>
      <x:c r="F1561" t="n">
        <x:v>0</x:v>
      </x:c>
      <x:c r="G1561" s="25" t="n">
        <x:v>0.371993</x:v>
      </x:c>
      <x:c r="H1561" t="n">
        <x:f>IF(G1561&lt;$B$6,1,0)</x:f>
        <x:v>0</x:v>
      </x:c>
      <x:c r="I1561" s="26" t="n">
        <x:f>H1561*IF(F1561=0,E1561*$B$7,-E1561*$B$8)</x:f>
        <x:v>0</x:v>
      </x:c>
    </x:row>
    <x:row r="1562">
      <x:c r="A1562" t="n">
        <x:v>8516</x:v>
      </x:c>
      <x:c r="B1562" t="str">
        <x:v>2024-10</x:v>
      </x:c>
      <x:c r="C1562" t="str">
        <x:v>Salaried</x:v>
      </x:c>
      <x:c r="D1562" t="str">
        <x:v>Group A</x:v>
      </x:c>
      <x:c r="E1562" s="26" t="n">
        <x:v>6707.66</x:v>
      </x:c>
      <x:c r="F1562" t="n">
        <x:v>0</x:v>
      </x:c>
      <x:c r="G1562" s="25" t="n">
        <x:v>0.015952</x:v>
      </x:c>
      <x:c r="H1562" t="n">
        <x:f>IF(G1562&lt;$B$6,1,0)</x:f>
        <x:v>1</x:v>
      </x:c>
      <x:c r="I1562" s="26" t="n">
        <x:f>H1562*IF(F1562=0,E1562*$B$7,-E1562*$B$8)</x:f>
        <x:v>804.9191999999999</x:v>
      </x:c>
    </x:row>
    <x:row r="1563">
      <x:c r="A1563" t="n">
        <x:v>8535</x:v>
      </x:c>
      <x:c r="B1563" t="str">
        <x:v>2024-10</x:v>
      </x:c>
      <x:c r="C1563" t="str">
        <x:v>Contract</x:v>
      </x:c>
      <x:c r="D1563" t="str">
        <x:v>Group B</x:v>
      </x:c>
      <x:c r="E1563" s="26" t="n">
        <x:v>33019.2</x:v>
      </x:c>
      <x:c r="F1563" t="n">
        <x:v>0</x:v>
      </x:c>
      <x:c r="G1563" s="25" t="n">
        <x:v>0.442531</x:v>
      </x:c>
      <x:c r="H1563" t="n">
        <x:f>IF(G1563&lt;$B$6,1,0)</x:f>
        <x:v>0</x:v>
      </x:c>
      <x:c r="I1563" s="26" t="n">
        <x:f>H1563*IF(F1563=0,E1563*$B$7,-E1563*$B$8)</x:f>
        <x:v>0</x:v>
      </x:c>
    </x:row>
    <x:row r="1564">
      <x:c r="A1564" t="n">
        <x:v>8541</x:v>
      </x:c>
      <x:c r="B1564" t="str">
        <x:v>2024-10</x:v>
      </x:c>
      <x:c r="C1564" t="str">
        <x:v>Salaried</x:v>
      </x:c>
      <x:c r="D1564" t="str">
        <x:v>Group A</x:v>
      </x:c>
      <x:c r="E1564" s="26" t="n">
        <x:v>22853.96</x:v>
      </x:c>
      <x:c r="F1564" t="n">
        <x:v>0</x:v>
      </x:c>
      <x:c r="G1564" s="25" t="n">
        <x:v>0.088595</x:v>
      </x:c>
      <x:c r="H1564" t="n">
        <x:f>IF(G1564&lt;$B$6,1,0)</x:f>
        <x:v>1</x:v>
      </x:c>
      <x:c r="I1564" s="26" t="n">
        <x:f>H1564*IF(F1564=0,E1564*$B$7,-E1564*$B$8)</x:f>
        <x:v>2742.4752</x:v>
      </x:c>
    </x:row>
    <x:row r="1565">
      <x:c r="A1565" t="n">
        <x:v>8549</x:v>
      </x:c>
      <x:c r="B1565" t="str">
        <x:v>2024-10</x:v>
      </x:c>
      <x:c r="C1565" t="str">
        <x:v>Salaried</x:v>
      </x:c>
      <x:c r="D1565" t="str">
        <x:v>Group A</x:v>
      </x:c>
      <x:c r="E1565" s="26" t="n">
        <x:v>41283.02</x:v>
      </x:c>
      <x:c r="F1565" t="n">
        <x:v>1</x:v>
      </x:c>
      <x:c r="G1565" s="25" t="n">
        <x:v>0.132877</x:v>
      </x:c>
      <x:c r="H1565" t="n">
        <x:f>IF(G1565&lt;$B$6,1,0)</x:f>
        <x:v>1</x:v>
      </x:c>
      <x:c r="I1565" s="26" t="n">
        <x:f>H1565*IF(F1565=0,E1565*$B$7,-E1565*$B$8)</x:f>
        <x:v>-26833.963</x:v>
      </x:c>
    </x:row>
    <x:row r="1566">
      <x:c r="A1566" t="n">
        <x:v>8572</x:v>
      </x:c>
      <x:c r="B1566" t="str">
        <x:v>2024-10</x:v>
      </x:c>
      <x:c r="C1566" t="str">
        <x:v>Salaried</x:v>
      </x:c>
      <x:c r="D1566" t="str">
        <x:v>Group B</x:v>
      </x:c>
      <x:c r="E1566" s="26" t="n">
        <x:v>24370.59</x:v>
      </x:c>
      <x:c r="F1566" t="n">
        <x:v>1</x:v>
      </x:c>
      <x:c r="G1566" s="25" t="n">
        <x:v>0.145071</x:v>
      </x:c>
      <x:c r="H1566" t="n">
        <x:f>IF(G1566&lt;$B$6,1,0)</x:f>
        <x:v>1</x:v>
      </x:c>
      <x:c r="I1566" s="26" t="n">
        <x:f>H1566*IF(F1566=0,E1566*$B$7,-E1566*$B$8)</x:f>
        <x:v>-15840.8835</x:v>
      </x:c>
    </x:row>
    <x:row r="1567">
      <x:c r="A1567" t="n">
        <x:v>8577</x:v>
      </x:c>
      <x:c r="B1567" t="str">
        <x:v>2024-10</x:v>
      </x:c>
      <x:c r="C1567" t="str">
        <x:v>Salaried</x:v>
      </x:c>
      <x:c r="D1567" t="str">
        <x:v>Group A</x:v>
      </x:c>
      <x:c r="E1567" s="26" t="n">
        <x:v>7943.29</x:v>
      </x:c>
      <x:c r="F1567" t="n">
        <x:v>0</x:v>
      </x:c>
      <x:c r="G1567" s="25" t="n">
        <x:v>0.20004</x:v>
      </x:c>
      <x:c r="H1567" t="n">
        <x:f>IF(G1567&lt;$B$6,1,0)</x:f>
        <x:v>0</x:v>
      </x:c>
      <x:c r="I1567" s="26" t="n">
        <x:f>H1567*IF(F1567=0,E1567*$B$7,-E1567*$B$8)</x:f>
        <x:v>0</x:v>
      </x:c>
    </x:row>
    <x:row r="1568">
      <x:c r="A1568" t="n">
        <x:v>8586</x:v>
      </x:c>
      <x:c r="B1568" t="str">
        <x:v>2024-10</x:v>
      </x:c>
      <x:c r="C1568" t="str">
        <x:v>Salaried</x:v>
      </x:c>
      <x:c r="D1568" t="str">
        <x:v>Group A</x:v>
      </x:c>
      <x:c r="E1568" s="26" t="n">
        <x:v>24377.99</x:v>
      </x:c>
      <x:c r="F1568" t="n">
        <x:v>0</x:v>
      </x:c>
      <x:c r="G1568" s="25" t="n">
        <x:v>0.118114</x:v>
      </x:c>
      <x:c r="H1568" t="n">
        <x:f>IF(G1568&lt;$B$6,1,0)</x:f>
        <x:v>1</x:v>
      </x:c>
      <x:c r="I1568" s="26" t="n">
        <x:f>H1568*IF(F1568=0,E1568*$B$7,-E1568*$B$8)</x:f>
        <x:v>2925.3588</x:v>
      </x:c>
    </x:row>
    <x:row r="1569">
      <x:c r="A1569" t="n">
        <x:v>8612</x:v>
      </x:c>
      <x:c r="B1569" t="str">
        <x:v>2024-10</x:v>
      </x:c>
      <x:c r="C1569" t="str">
        <x:v>Salaried</x:v>
      </x:c>
      <x:c r="D1569" t="str">
        <x:v>Group B</x:v>
      </x:c>
      <x:c r="E1569" s="26" t="n">
        <x:v>7807.06</x:v>
      </x:c>
      <x:c r="F1569" t="n">
        <x:v>0</x:v>
      </x:c>
      <x:c r="G1569" s="25" t="n">
        <x:v>0.164142</x:v>
      </x:c>
      <x:c r="H1569" t="n">
        <x:f>IF(G1569&lt;$B$6,1,0)</x:f>
        <x:v>0</x:v>
      </x:c>
      <x:c r="I1569" s="26" t="n">
        <x:f>H1569*IF(F1569=0,E1569*$B$7,-E1569*$B$8)</x:f>
        <x:v>0</x:v>
      </x:c>
    </x:row>
    <x:row r="1570">
      <x:c r="A1570" t="n">
        <x:v>8662</x:v>
      </x:c>
      <x:c r="B1570" t="str">
        <x:v>2024-10</x:v>
      </x:c>
      <x:c r="C1570" t="str">
        <x:v>Salaried</x:v>
      </x:c>
      <x:c r="D1570" t="str">
        <x:v>Group B</x:v>
      </x:c>
      <x:c r="E1570" s="26" t="n">
        <x:v>10022.77</x:v>
      </x:c>
      <x:c r="F1570" t="n">
        <x:v>1</x:v>
      </x:c>
      <x:c r="G1570" s="25" t="n">
        <x:v>0.453288</x:v>
      </x:c>
      <x:c r="H1570" t="n">
        <x:f>IF(G1570&lt;$B$6,1,0)</x:f>
        <x:v>0</x:v>
      </x:c>
      <x:c r="I1570" s="26" t="n">
        <x:f>H1570*IF(F1570=0,E1570*$B$7,-E1570*$B$8)</x:f>
        <x:v>0</x:v>
      </x:c>
    </x:row>
    <x:row r="1571">
      <x:c r="A1571" t="n">
        <x:v>8717</x:v>
      </x:c>
      <x:c r="B1571" t="str">
        <x:v>2024-10</x:v>
      </x:c>
      <x:c r="C1571" t="str">
        <x:v>Contract</x:v>
      </x:c>
      <x:c r="D1571" t="str">
        <x:v>Group A</x:v>
      </x:c>
      <x:c r="E1571" s="26" t="n">
        <x:v>19192.89</x:v>
      </x:c>
      <x:c r="F1571" t="n">
        <x:v>0</x:v>
      </x:c>
      <x:c r="G1571" s="25" t="n">
        <x:v>0.138024</x:v>
      </x:c>
      <x:c r="H1571" t="n">
        <x:f>IF(G1571&lt;$B$6,1,0)</x:f>
        <x:v>1</x:v>
      </x:c>
      <x:c r="I1571" s="26" t="n">
        <x:f>H1571*IF(F1571=0,E1571*$B$7,-E1571*$B$8)</x:f>
        <x:v>2303.1468</x:v>
      </x:c>
    </x:row>
    <x:row r="1572">
      <x:c r="A1572" t="n">
        <x:v>8718</x:v>
      </x:c>
      <x:c r="B1572" t="str">
        <x:v>2024-10</x:v>
      </x:c>
      <x:c r="C1572" t="str">
        <x:v>Salaried</x:v>
      </x:c>
      <x:c r="D1572" t="str">
        <x:v>Group B</x:v>
      </x:c>
      <x:c r="E1572" s="26" t="n">
        <x:v>7705.42</x:v>
      </x:c>
      <x:c r="F1572" t="n">
        <x:v>0</x:v>
      </x:c>
      <x:c r="G1572" s="25" t="n">
        <x:v>0.117716</x:v>
      </x:c>
      <x:c r="H1572" t="n">
        <x:f>IF(G1572&lt;$B$6,1,0)</x:f>
        <x:v>1</x:v>
      </x:c>
      <x:c r="I1572" s="26" t="n">
        <x:f>H1572*IF(F1572=0,E1572*$B$7,-E1572*$B$8)</x:f>
        <x:v>924.6504</x:v>
      </x:c>
    </x:row>
    <x:row r="1573">
      <x:c r="A1573" t="n">
        <x:v>8723</x:v>
      </x:c>
      <x:c r="B1573" t="str">
        <x:v>2024-10</x:v>
      </x:c>
      <x:c r="C1573" t="str">
        <x:v>Salaried</x:v>
      </x:c>
      <x:c r="D1573" t="str">
        <x:v>Group B</x:v>
      </x:c>
      <x:c r="E1573" s="26" t="n">
        <x:v>20899.91</x:v>
      </x:c>
      <x:c r="F1573" t="n">
        <x:v>0</x:v>
      </x:c>
      <x:c r="G1573" s="25" t="n">
        <x:v>0.106612</x:v>
      </x:c>
      <x:c r="H1573" t="n">
        <x:f>IF(G1573&lt;$B$6,1,0)</x:f>
        <x:v>1</x:v>
      </x:c>
      <x:c r="I1573" s="26" t="n">
        <x:f>H1573*IF(F1573=0,E1573*$B$7,-E1573*$B$8)</x:f>
        <x:v>2507.9892</x:v>
      </x:c>
    </x:row>
    <x:row r="1574">
      <x:c r="A1574" t="n">
        <x:v>8740</x:v>
      </x:c>
      <x:c r="B1574" t="str">
        <x:v>2024-10</x:v>
      </x:c>
      <x:c r="C1574" t="str">
        <x:v>Salaried</x:v>
      </x:c>
      <x:c r="D1574" t="str">
        <x:v>Group A</x:v>
      </x:c>
      <x:c r="E1574" s="26" t="n">
        <x:v>4762.81</x:v>
      </x:c>
      <x:c r="F1574" t="n">
        <x:v>0</x:v>
      </x:c>
      <x:c r="G1574" s="25" t="n">
        <x:v>0.092166</x:v>
      </x:c>
      <x:c r="H1574" t="n">
        <x:f>IF(G1574&lt;$B$6,1,0)</x:f>
        <x:v>1</x:v>
      </x:c>
      <x:c r="I1574" s="26" t="n">
        <x:f>H1574*IF(F1574=0,E1574*$B$7,-E1574*$B$8)</x:f>
        <x:v>571.5372</x:v>
      </x:c>
    </x:row>
    <x:row r="1575">
      <x:c r="A1575" t="n">
        <x:v>8766</x:v>
      </x:c>
      <x:c r="B1575" t="str">
        <x:v>2024-10</x:v>
      </x:c>
      <x:c r="C1575" t="str">
        <x:v>Self employed</x:v>
      </x:c>
      <x:c r="D1575" t="str">
        <x:v>Group A</x:v>
      </x:c>
      <x:c r="E1575" s="26" t="n">
        <x:v>50858.23</x:v>
      </x:c>
      <x:c r="F1575" t="n">
        <x:v>1</x:v>
      </x:c>
      <x:c r="G1575" s="25" t="n">
        <x:v>0.335265</x:v>
      </x:c>
      <x:c r="H1575" t="n">
        <x:f>IF(G1575&lt;$B$6,1,0)</x:f>
        <x:v>0</x:v>
      </x:c>
      <x:c r="I1575" s="26" t="n">
        <x:f>H1575*IF(F1575=0,E1575*$B$7,-E1575*$B$8)</x:f>
        <x:v>0</x:v>
      </x:c>
    </x:row>
    <x:row r="1576">
      <x:c r="A1576" t="n">
        <x:v>8785</x:v>
      </x:c>
      <x:c r="B1576" t="str">
        <x:v>2024-10</x:v>
      </x:c>
      <x:c r="C1576" t="str">
        <x:v>Salaried</x:v>
      </x:c>
      <x:c r="D1576" t="str">
        <x:v>Group B</x:v>
      </x:c>
      <x:c r="E1576" s="26" t="n">
        <x:v>23310.14</x:v>
      </x:c>
      <x:c r="F1576" t="n">
        <x:v>0</x:v>
      </x:c>
      <x:c r="G1576" s="25" t="n">
        <x:v>0.154514</x:v>
      </x:c>
      <x:c r="H1576" t="n">
        <x:f>IF(G1576&lt;$B$6,1,0)</x:f>
        <x:v>1</x:v>
      </x:c>
      <x:c r="I1576" s="26" t="n">
        <x:f>H1576*IF(F1576=0,E1576*$B$7,-E1576*$B$8)</x:f>
        <x:v>2797.2167999999997</x:v>
      </x:c>
    </x:row>
    <x:row r="1577">
      <x:c r="A1577" t="n">
        <x:v>8792</x:v>
      </x:c>
      <x:c r="B1577" t="str">
        <x:v>2024-10</x:v>
      </x:c>
      <x:c r="C1577" t="str">
        <x:v>Salaried</x:v>
      </x:c>
      <x:c r="D1577" t="str">
        <x:v>Group A</x:v>
      </x:c>
      <x:c r="E1577" s="26" t="n">
        <x:v>20456.68</x:v>
      </x:c>
      <x:c r="F1577" t="n">
        <x:v>0</x:v>
      </x:c>
      <x:c r="G1577" s="25" t="n">
        <x:v>0.278012</x:v>
      </x:c>
      <x:c r="H1577" t="n">
        <x:f>IF(G1577&lt;$B$6,1,0)</x:f>
        <x:v>0</x:v>
      </x:c>
      <x:c r="I1577" s="26" t="n">
        <x:f>H1577*IF(F1577=0,E1577*$B$7,-E1577*$B$8)</x:f>
        <x:v>0</x:v>
      </x:c>
    </x:row>
    <x:row r="1578">
      <x:c r="A1578" t="n">
        <x:v>8796</x:v>
      </x:c>
      <x:c r="B1578" t="str">
        <x:v>2024-10</x:v>
      </x:c>
      <x:c r="C1578" t="str">
        <x:v>Self employed</x:v>
      </x:c>
      <x:c r="D1578" t="str">
        <x:v>Group B</x:v>
      </x:c>
      <x:c r="E1578" s="26" t="n">
        <x:v>31327.58</x:v>
      </x:c>
      <x:c r="F1578" t="n">
        <x:v>0</x:v>
      </x:c>
      <x:c r="G1578" s="25" t="n">
        <x:v>0.089571</x:v>
      </x:c>
      <x:c r="H1578" t="n">
        <x:f>IF(G1578&lt;$B$6,1,0)</x:f>
        <x:v>1</x:v>
      </x:c>
      <x:c r="I1578" s="26" t="n">
        <x:f>H1578*IF(F1578=0,E1578*$B$7,-E1578*$B$8)</x:f>
        <x:v>3759.3096</x:v>
      </x:c>
    </x:row>
    <x:row r="1579">
      <x:c r="A1579" t="n">
        <x:v>8828</x:v>
      </x:c>
      <x:c r="B1579" t="str">
        <x:v>2024-10</x:v>
      </x:c>
      <x:c r="C1579" t="str">
        <x:v>Salaried</x:v>
      </x:c>
      <x:c r="D1579" t="str">
        <x:v>Group A</x:v>
      </x:c>
      <x:c r="E1579" s="26" t="n">
        <x:v>41605.39</x:v>
      </x:c>
      <x:c r="F1579" t="n">
        <x:v>0</x:v>
      </x:c>
      <x:c r="G1579" s="25" t="n">
        <x:v>0.024292</x:v>
      </x:c>
      <x:c r="H1579" t="n">
        <x:f>IF(G1579&lt;$B$6,1,0)</x:f>
        <x:v>1</x:v>
      </x:c>
      <x:c r="I1579" s="26" t="n">
        <x:f>H1579*IF(F1579=0,E1579*$B$7,-E1579*$B$8)</x:f>
        <x:v>4992.6467999999995</x:v>
      </x:c>
    </x:row>
    <x:row r="1580">
      <x:c r="A1580" t="n">
        <x:v>8850</x:v>
      </x:c>
      <x:c r="B1580" t="str">
        <x:v>2024-10</x:v>
      </x:c>
      <x:c r="C1580" t="str">
        <x:v>Salaried</x:v>
      </x:c>
      <x:c r="D1580" t="str">
        <x:v>Group A</x:v>
      </x:c>
      <x:c r="E1580" s="26" t="n">
        <x:v>6484.39</x:v>
      </x:c>
      <x:c r="F1580" t="n">
        <x:v>1</x:v>
      </x:c>
      <x:c r="G1580" s="25" t="n">
        <x:v>0.241247</x:v>
      </x:c>
      <x:c r="H1580" t="n">
        <x:f>IF(G1580&lt;$B$6,1,0)</x:f>
        <x:v>0</x:v>
      </x:c>
      <x:c r="I1580" s="26" t="n">
        <x:f>H1580*IF(F1580=0,E1580*$B$7,-E1580*$B$8)</x:f>
        <x:v>0</x:v>
      </x:c>
    </x:row>
    <x:row r="1581">
      <x:c r="A1581" t="n">
        <x:v>8904</x:v>
      </x:c>
      <x:c r="B1581" t="str">
        <x:v>2024-10</x:v>
      </x:c>
      <x:c r="C1581" t="str">
        <x:v>Salaried</x:v>
      </x:c>
      <x:c r="D1581" t="str">
        <x:v>Group B</x:v>
      </x:c>
      <x:c r="E1581" s="26" t="n">
        <x:v>16261.15</x:v>
      </x:c>
      <x:c r="F1581" t="n">
        <x:v>1</x:v>
      </x:c>
      <x:c r="G1581" s="25" t="n">
        <x:v>0.334001</x:v>
      </x:c>
      <x:c r="H1581" t="n">
        <x:f>IF(G1581&lt;$B$6,1,0)</x:f>
        <x:v>0</x:v>
      </x:c>
      <x:c r="I1581" s="26" t="n">
        <x:f>H1581*IF(F1581=0,E1581*$B$7,-E1581*$B$8)</x:f>
        <x:v>0</x:v>
      </x:c>
    </x:row>
    <x:row r="1582">
      <x:c r="A1582" t="n">
        <x:v>8970</x:v>
      </x:c>
      <x:c r="B1582" t="str">
        <x:v>2024-10</x:v>
      </x:c>
      <x:c r="C1582" t="str">
        <x:v>Self employed</x:v>
      </x:c>
      <x:c r="D1582" t="str">
        <x:v>Group B</x:v>
      </x:c>
      <x:c r="E1582" s="26" t="n">
        <x:v>17809.53</x:v>
      </x:c>
      <x:c r="F1582" t="n">
        <x:v>0</x:v>
      </x:c>
      <x:c r="G1582" s="25" t="n">
        <x:v>0.125535</x:v>
      </x:c>
      <x:c r="H1582" t="n">
        <x:f>IF(G1582&lt;$B$6,1,0)</x:f>
        <x:v>1</x:v>
      </x:c>
      <x:c r="I1582" s="26" t="n">
        <x:f>H1582*IF(F1582=0,E1582*$B$7,-E1582*$B$8)</x:f>
        <x:v>2137.1436</x:v>
      </x:c>
    </x:row>
    <x:row r="1583">
      <x:c r="A1583" t="n">
        <x:v>8974</x:v>
      </x:c>
      <x:c r="B1583" t="str">
        <x:v>2024-10</x:v>
      </x:c>
      <x:c r="C1583" t="str">
        <x:v>Salaried</x:v>
      </x:c>
      <x:c r="D1583" t="str">
        <x:v>Group B</x:v>
      </x:c>
      <x:c r="E1583" s="26" t="n">
        <x:v>10274.96</x:v>
      </x:c>
      <x:c r="F1583" t="n">
        <x:v>0</x:v>
      </x:c>
      <x:c r="G1583" s="25" t="n">
        <x:v>0.083096</x:v>
      </x:c>
      <x:c r="H1583" t="n">
        <x:f>IF(G1583&lt;$B$6,1,0)</x:f>
        <x:v>1</x:v>
      </x:c>
      <x:c r="I1583" s="26" t="n">
        <x:f>H1583*IF(F1583=0,E1583*$B$7,-E1583*$B$8)</x:f>
        <x:v>1232.9951999999998</x:v>
      </x:c>
    </x:row>
    <x:row r="1584">
      <x:c r="A1584" t="n">
        <x:v>8985</x:v>
      </x:c>
      <x:c r="B1584" t="str">
        <x:v>2024-10</x:v>
      </x:c>
      <x:c r="C1584" t="str">
        <x:v>Salaried</x:v>
      </x:c>
      <x:c r="D1584" t="str">
        <x:v>Group B</x:v>
      </x:c>
      <x:c r="E1584" s="26" t="n">
        <x:v>13963.7</x:v>
      </x:c>
      <x:c r="F1584" t="n">
        <x:v>0</x:v>
      </x:c>
      <x:c r="G1584" s="25" t="n">
        <x:v>0.096972</x:v>
      </x:c>
      <x:c r="H1584" t="n">
        <x:f>IF(G1584&lt;$B$6,1,0)</x:f>
        <x:v>1</x:v>
      </x:c>
      <x:c r="I1584" s="26" t="n">
        <x:f>H1584*IF(F1584=0,E1584*$B$7,-E1584*$B$8)</x:f>
        <x:v>1675.644</x:v>
      </x:c>
    </x:row>
    <x:row r="1585">
      <x:c r="A1585" t="n">
        <x:v>8991</x:v>
      </x:c>
      <x:c r="B1585" t="str">
        <x:v>2024-10</x:v>
      </x:c>
      <x:c r="C1585" t="str">
        <x:v>Salaried</x:v>
      </x:c>
      <x:c r="D1585" t="str">
        <x:v>Group A</x:v>
      </x:c>
      <x:c r="E1585" s="26" t="n">
        <x:v>15934.45</x:v>
      </x:c>
      <x:c r="F1585" t="n">
        <x:v>0</x:v>
      </x:c>
      <x:c r="G1585" s="25" t="n">
        <x:v>0.326001</x:v>
      </x:c>
      <x:c r="H1585" t="n">
        <x:f>IF(G1585&lt;$B$6,1,0)</x:f>
        <x:v>0</x:v>
      </x:c>
      <x:c r="I1585" s="26" t="n">
        <x:f>H1585*IF(F1585=0,E1585*$B$7,-E1585*$B$8)</x:f>
        <x:v>0</x:v>
      </x:c>
    </x:row>
    <x:row r="1586">
      <x:c r="A1586" t="n">
        <x:v>8999</x:v>
      </x:c>
      <x:c r="B1586" t="str">
        <x:v>2024-10</x:v>
      </x:c>
      <x:c r="C1586" t="str">
        <x:v>Self employed</x:v>
      </x:c>
      <x:c r="D1586" t="str">
        <x:v>Group A</x:v>
      </x:c>
      <x:c r="E1586" s="26" t="n">
        <x:v>17586.22</x:v>
      </x:c>
      <x:c r="F1586" t="n">
        <x:v>0</x:v>
      </x:c>
      <x:c r="G1586" s="25" t="n">
        <x:v>0.190521</x:v>
      </x:c>
      <x:c r="H1586" t="n">
        <x:f>IF(G1586&lt;$B$6,1,0)</x:f>
        <x:v>0</x:v>
      </x:c>
      <x:c r="I1586" s="26" t="n">
        <x:f>H1586*IF(F1586=0,E1586*$B$7,-E1586*$B$8)</x:f>
        <x:v>0</x:v>
      </x:c>
    </x:row>
    <x:row r="1587">
      <x:c r="A1587" t="n">
        <x:v>9103</x:v>
      </x:c>
      <x:c r="B1587" t="str">
        <x:v>2024-10</x:v>
      </x:c>
      <x:c r="C1587" t="str">
        <x:v>Salaried</x:v>
      </x:c>
      <x:c r="D1587" t="str">
        <x:v>Group B</x:v>
      </x:c>
      <x:c r="E1587" s="26" t="n">
        <x:v>19698.47</x:v>
      </x:c>
      <x:c r="F1587" t="n">
        <x:v>0</x:v>
      </x:c>
      <x:c r="G1587" s="25" t="n">
        <x:v>0.127303</x:v>
      </x:c>
      <x:c r="H1587" t="n">
        <x:f>IF(G1587&lt;$B$6,1,0)</x:f>
        <x:v>1</x:v>
      </x:c>
      <x:c r="I1587" s="26" t="n">
        <x:f>H1587*IF(F1587=0,E1587*$B$7,-E1587*$B$8)</x:f>
        <x:v>2363.8164</x:v>
      </x:c>
    </x:row>
    <x:row r="1588">
      <x:c r="A1588" t="n">
        <x:v>9112</x:v>
      </x:c>
      <x:c r="B1588" t="str">
        <x:v>2024-10</x:v>
      </x:c>
      <x:c r="C1588" t="str">
        <x:v>Salaried</x:v>
      </x:c>
      <x:c r="D1588" t="str">
        <x:v>Group B</x:v>
      </x:c>
      <x:c r="E1588" s="26" t="n">
        <x:v>36649.96</x:v>
      </x:c>
      <x:c r="F1588" t="n">
        <x:v>1</x:v>
      </x:c>
      <x:c r="G1588" s="25" t="n">
        <x:v>0.254352</x:v>
      </x:c>
      <x:c r="H1588" t="n">
        <x:f>IF(G1588&lt;$B$6,1,0)</x:f>
        <x:v>0</x:v>
      </x:c>
      <x:c r="I1588" s="26" t="n">
        <x:f>H1588*IF(F1588=0,E1588*$B$7,-E1588*$B$8)</x:f>
        <x:v>0</x:v>
      </x:c>
    </x:row>
    <x:row r="1589">
      <x:c r="A1589" t="n">
        <x:v>9128</x:v>
      </x:c>
      <x:c r="B1589" t="str">
        <x:v>2024-10</x:v>
      </x:c>
      <x:c r="C1589" t="str">
        <x:v>Self employed</x:v>
      </x:c>
      <x:c r="D1589" t="str">
        <x:v>Group B</x:v>
      </x:c>
      <x:c r="E1589" s="26" t="n">
        <x:v>7062.45</x:v>
      </x:c>
      <x:c r="F1589" t="n">
        <x:v>0</x:v>
      </x:c>
      <x:c r="G1589" s="25" t="n">
        <x:v>0.062945</x:v>
      </x:c>
      <x:c r="H1589" t="n">
        <x:f>IF(G1589&lt;$B$6,1,0)</x:f>
        <x:v>1</x:v>
      </x:c>
      <x:c r="I1589" s="26" t="n">
        <x:f>H1589*IF(F1589=0,E1589*$B$7,-E1589*$B$8)</x:f>
        <x:v>847.4939999999999</x:v>
      </x:c>
    </x:row>
    <x:row r="1590">
      <x:c r="A1590" t="n">
        <x:v>9129</x:v>
      </x:c>
      <x:c r="B1590" t="str">
        <x:v>2024-10</x:v>
      </x:c>
      <x:c r="C1590" t="str">
        <x:v>Salaried</x:v>
      </x:c>
      <x:c r="D1590" t="str">
        <x:v>Group A</x:v>
      </x:c>
      <x:c r="E1590" s="26" t="n">
        <x:v>20689.96</x:v>
      </x:c>
      <x:c r="F1590" t="n">
        <x:v>1</x:v>
      </x:c>
      <x:c r="G1590" s="25" t="n">
        <x:v>0.360183</x:v>
      </x:c>
      <x:c r="H1590" t="n">
        <x:f>IF(G1590&lt;$B$6,1,0)</x:f>
        <x:v>0</x:v>
      </x:c>
      <x:c r="I1590" s="26" t="n">
        <x:f>H1590*IF(F1590=0,E1590*$B$7,-E1590*$B$8)</x:f>
        <x:v>0</x:v>
      </x:c>
    </x:row>
    <x:row r="1591">
      <x:c r="A1591" t="n">
        <x:v>9154</x:v>
      </x:c>
      <x:c r="B1591" t="str">
        <x:v>2024-10</x:v>
      </x:c>
      <x:c r="C1591" t="str">
        <x:v>Salaried</x:v>
      </x:c>
      <x:c r="D1591" t="str">
        <x:v>Group A</x:v>
      </x:c>
      <x:c r="E1591" s="26" t="n">
        <x:v>12447.47</x:v>
      </x:c>
      <x:c r="F1591" t="n">
        <x:v>0</x:v>
      </x:c>
      <x:c r="G1591" s="25" t="n">
        <x:v>0.107883</x:v>
      </x:c>
      <x:c r="H1591" t="n">
        <x:f>IF(G1591&lt;$B$6,1,0)</x:f>
        <x:v>1</x:v>
      </x:c>
      <x:c r="I1591" s="26" t="n">
        <x:f>H1591*IF(F1591=0,E1591*$B$7,-E1591*$B$8)</x:f>
        <x:v>1493.6963999999998</x:v>
      </x:c>
    </x:row>
    <x:row r="1592">
      <x:c r="A1592" t="n">
        <x:v>9161</x:v>
      </x:c>
      <x:c r="B1592" t="str">
        <x:v>2024-10</x:v>
      </x:c>
      <x:c r="C1592" t="str">
        <x:v>Salaried</x:v>
      </x:c>
      <x:c r="D1592" t="str">
        <x:v>Group B</x:v>
      </x:c>
      <x:c r="E1592" s="26" t="n">
        <x:v>18026.7</x:v>
      </x:c>
      <x:c r="F1592" t="n">
        <x:v>0</x:v>
      </x:c>
      <x:c r="G1592" s="25" t="n">
        <x:v>0.134759</x:v>
      </x:c>
      <x:c r="H1592" t="n">
        <x:f>IF(G1592&lt;$B$6,1,0)</x:f>
        <x:v>1</x:v>
      </x:c>
      <x:c r="I1592" s="26" t="n">
        <x:f>H1592*IF(F1592=0,E1592*$B$7,-E1592*$B$8)</x:f>
        <x:v>2163.204</x:v>
      </x:c>
    </x:row>
    <x:row r="1593">
      <x:c r="A1593" t="n">
        <x:v>9174</x:v>
      </x:c>
      <x:c r="B1593" t="str">
        <x:v>2024-10</x:v>
      </x:c>
      <x:c r="C1593" t="str">
        <x:v>Self employed</x:v>
      </x:c>
      <x:c r="D1593" t="str">
        <x:v>Group A</x:v>
      </x:c>
      <x:c r="E1593" s="26" t="n">
        <x:v>38589.95</x:v>
      </x:c>
      <x:c r="F1593" t="n">
        <x:v>1</x:v>
      </x:c>
      <x:c r="G1593" s="25" t="n">
        <x:v>0.454142</x:v>
      </x:c>
      <x:c r="H1593" t="n">
        <x:f>IF(G1593&lt;$B$6,1,0)</x:f>
        <x:v>0</x:v>
      </x:c>
      <x:c r="I1593" s="26" t="n">
        <x:f>H1593*IF(F1593=0,E1593*$B$7,-E1593*$B$8)</x:f>
        <x:v>0</x:v>
      </x:c>
    </x:row>
    <x:row r="1594">
      <x:c r="A1594" t="n">
        <x:v>9191</x:v>
      </x:c>
      <x:c r="B1594" t="str">
        <x:v>2024-10</x:v>
      </x:c>
      <x:c r="C1594" t="str">
        <x:v>Salaried</x:v>
      </x:c>
      <x:c r="D1594" t="str">
        <x:v>Group A</x:v>
      </x:c>
      <x:c r="E1594" s="26" t="n">
        <x:v>23867.96</x:v>
      </x:c>
      <x:c r="F1594" t="n">
        <x:v>0</x:v>
      </x:c>
      <x:c r="G1594" s="25" t="n">
        <x:v>0.174769</x:v>
      </x:c>
      <x:c r="H1594" t="n">
        <x:f>IF(G1594&lt;$B$6,1,0)</x:f>
        <x:v>0</x:v>
      </x:c>
      <x:c r="I1594" s="26" t="n">
        <x:f>H1594*IF(F1594=0,E1594*$B$7,-E1594*$B$8)</x:f>
        <x:v>0</x:v>
      </x:c>
    </x:row>
    <x:row r="1595">
      <x:c r="A1595" t="n">
        <x:v>9197</x:v>
      </x:c>
      <x:c r="B1595" t="str">
        <x:v>2024-10</x:v>
      </x:c>
      <x:c r="C1595" t="str">
        <x:v>Contract</x:v>
      </x:c>
      <x:c r="D1595" t="str">
        <x:v>Group B</x:v>
      </x:c>
      <x:c r="E1595" s="26" t="n">
        <x:v>26982.86</x:v>
      </x:c>
      <x:c r="F1595" t="n">
        <x:v>0</x:v>
      </x:c>
      <x:c r="G1595" s="25" t="n">
        <x:v>0.492362</x:v>
      </x:c>
      <x:c r="H1595" t="n">
        <x:f>IF(G1595&lt;$B$6,1,0)</x:f>
        <x:v>0</x:v>
      </x:c>
      <x:c r="I1595" s="26" t="n">
        <x:f>H1595*IF(F1595=0,E1595*$B$7,-E1595*$B$8)</x:f>
        <x:v>0</x:v>
      </x:c>
    </x:row>
    <x:row r="1596">
      <x:c r="A1596" t="n">
        <x:v>9214</x:v>
      </x:c>
      <x:c r="B1596" t="str">
        <x:v>2024-10</x:v>
      </x:c>
      <x:c r="C1596" t="str">
        <x:v>Self employed</x:v>
      </x:c>
      <x:c r="D1596" t="str">
        <x:v>Group A</x:v>
      </x:c>
      <x:c r="E1596" s="26" t="n">
        <x:v>25198.75</x:v>
      </x:c>
      <x:c r="F1596" t="n">
        <x:v>0</x:v>
      </x:c>
      <x:c r="G1596" s="25" t="n">
        <x:v>0.074641</x:v>
      </x:c>
      <x:c r="H1596" t="n">
        <x:f>IF(G1596&lt;$B$6,1,0)</x:f>
        <x:v>1</x:v>
      </x:c>
      <x:c r="I1596" s="26" t="n">
        <x:f>H1596*IF(F1596=0,E1596*$B$7,-E1596*$B$8)</x:f>
        <x:v>3023.85</x:v>
      </x:c>
    </x:row>
    <x:row r="1597">
      <x:c r="A1597" t="n">
        <x:v>9237</x:v>
      </x:c>
      <x:c r="B1597" t="str">
        <x:v>2024-10</x:v>
      </x:c>
      <x:c r="C1597" t="str">
        <x:v>Self employed</x:v>
      </x:c>
      <x:c r="D1597" t="str">
        <x:v>Group B</x:v>
      </x:c>
      <x:c r="E1597" s="26" t="n">
        <x:v>8483.8</x:v>
      </x:c>
      <x:c r="F1597" t="n">
        <x:v>0</x:v>
      </x:c>
      <x:c r="G1597" s="25" t="n">
        <x:v>0.232189</x:v>
      </x:c>
      <x:c r="H1597" t="n">
        <x:f>IF(G1597&lt;$B$6,1,0)</x:f>
        <x:v>0</x:v>
      </x:c>
      <x:c r="I1597" s="26" t="n">
        <x:f>H1597*IF(F1597=0,E1597*$B$7,-E1597*$B$8)</x:f>
        <x:v>0</x:v>
      </x:c>
    </x:row>
    <x:row r="1598">
      <x:c r="A1598" t="n">
        <x:v>9240</x:v>
      </x:c>
      <x:c r="B1598" t="str">
        <x:v>2024-10</x:v>
      </x:c>
      <x:c r="C1598" t="str">
        <x:v>Salaried</x:v>
      </x:c>
      <x:c r="D1598" t="str">
        <x:v>Group A</x:v>
      </x:c>
      <x:c r="E1598" s="26" t="n">
        <x:v>33372.47</x:v>
      </x:c>
      <x:c r="F1598" t="n">
        <x:v>0</x:v>
      </x:c>
      <x:c r="G1598" s="25" t="n">
        <x:v>0.082172</x:v>
      </x:c>
      <x:c r="H1598" t="n">
        <x:f>IF(G1598&lt;$B$6,1,0)</x:f>
        <x:v>1</x:v>
      </x:c>
      <x:c r="I1598" s="26" t="n">
        <x:f>H1598*IF(F1598=0,E1598*$B$7,-E1598*$B$8)</x:f>
        <x:v>4004.6964</x:v>
      </x:c>
    </x:row>
    <x:row r="1599">
      <x:c r="A1599" t="n">
        <x:v>9243</x:v>
      </x:c>
      <x:c r="B1599" t="str">
        <x:v>2024-10</x:v>
      </x:c>
      <x:c r="C1599" t="str">
        <x:v>Salaried</x:v>
      </x:c>
      <x:c r="D1599" t="str">
        <x:v>Group B</x:v>
      </x:c>
      <x:c r="E1599" s="26" t="n">
        <x:v>27293.06</x:v>
      </x:c>
      <x:c r="F1599" t="n">
        <x:v>0</x:v>
      </x:c>
      <x:c r="G1599" s="25" t="n">
        <x:v>0.53575</x:v>
      </x:c>
      <x:c r="H1599" t="n">
        <x:f>IF(G1599&lt;$B$6,1,0)</x:f>
        <x:v>0</x:v>
      </x:c>
      <x:c r="I1599" s="26" t="n">
        <x:f>H1599*IF(F1599=0,E1599*$B$7,-E1599*$B$8)</x:f>
        <x:v>0</x:v>
      </x:c>
    </x:row>
    <x:row r="1600">
      <x:c r="A1600" t="n">
        <x:v>9255</x:v>
      </x:c>
      <x:c r="B1600" t="str">
        <x:v>2024-10</x:v>
      </x:c>
      <x:c r="C1600" t="str">
        <x:v>Salaried</x:v>
      </x:c>
      <x:c r="D1600" t="str">
        <x:v>Group A</x:v>
      </x:c>
      <x:c r="E1600" s="26" t="n">
        <x:v>30859.03</x:v>
      </x:c>
      <x:c r="F1600" t="n">
        <x:v>0</x:v>
      </x:c>
      <x:c r="G1600" s="25" t="n">
        <x:v>0.045867</x:v>
      </x:c>
      <x:c r="H1600" t="n">
        <x:f>IF(G1600&lt;$B$6,1,0)</x:f>
        <x:v>1</x:v>
      </x:c>
      <x:c r="I1600" s="26" t="n">
        <x:f>H1600*IF(F1600=0,E1600*$B$7,-E1600*$B$8)</x:f>
        <x:v>3703.0836</x:v>
      </x:c>
    </x:row>
    <x:row r="1601">
      <x:c r="A1601" t="n">
        <x:v>9260</x:v>
      </x:c>
      <x:c r="B1601" t="str">
        <x:v>2024-10</x:v>
      </x:c>
      <x:c r="C1601" t="str">
        <x:v>Salaried</x:v>
      </x:c>
      <x:c r="D1601" t="str">
        <x:v>Group B</x:v>
      </x:c>
      <x:c r="E1601" s="26" t="n">
        <x:v>9788</x:v>
      </x:c>
      <x:c r="F1601" t="n">
        <x:v>0</x:v>
      </x:c>
      <x:c r="G1601" s="25" t="n">
        <x:v>0.061901</x:v>
      </x:c>
      <x:c r="H1601" t="n">
        <x:f>IF(G1601&lt;$B$6,1,0)</x:f>
        <x:v>1</x:v>
      </x:c>
      <x:c r="I1601" s="26" t="n">
        <x:f>H1601*IF(F1601=0,E1601*$B$7,-E1601*$B$8)</x:f>
        <x:v>1174.56</x:v>
      </x:c>
    </x:row>
    <x:row r="1602">
      <x:c r="A1602" t="n">
        <x:v>9264</x:v>
      </x:c>
      <x:c r="B1602" t="str">
        <x:v>2024-10</x:v>
      </x:c>
      <x:c r="C1602" t="str">
        <x:v>Salaried</x:v>
      </x:c>
      <x:c r="D1602" t="str">
        <x:v>Group A</x:v>
      </x:c>
      <x:c r="E1602" s="26" t="n">
        <x:v>24255.69</x:v>
      </x:c>
      <x:c r="F1602" t="n">
        <x:v>0</x:v>
      </x:c>
      <x:c r="G1602" s="25" t="n">
        <x:v>0.115439</x:v>
      </x:c>
      <x:c r="H1602" t="n">
        <x:f>IF(G1602&lt;$B$6,1,0)</x:f>
        <x:v>1</x:v>
      </x:c>
      <x:c r="I1602" s="26" t="n">
        <x:f>H1602*IF(F1602=0,E1602*$B$7,-E1602*$B$8)</x:f>
        <x:v>2910.6827999999996</x:v>
      </x:c>
    </x:row>
    <x:row r="1603">
      <x:c r="A1603" t="n">
        <x:v>9269</x:v>
      </x:c>
      <x:c r="B1603" t="str">
        <x:v>2024-10</x:v>
      </x:c>
      <x:c r="C1603" t="str">
        <x:v>Salaried</x:v>
      </x:c>
      <x:c r="D1603" t="str">
        <x:v>Group B</x:v>
      </x:c>
      <x:c r="E1603" s="26" t="n">
        <x:v>6458.33</x:v>
      </x:c>
      <x:c r="F1603" t="n">
        <x:v>0</x:v>
      </x:c>
      <x:c r="G1603" s="25" t="n">
        <x:v>0.063743</x:v>
      </x:c>
      <x:c r="H1603" t="n">
        <x:f>IF(G1603&lt;$B$6,1,0)</x:f>
        <x:v>1</x:v>
      </x:c>
      <x:c r="I1603" s="26" t="n">
        <x:f>H1603*IF(F1603=0,E1603*$B$7,-E1603*$B$8)</x:f>
        <x:v>774.9996</x:v>
      </x:c>
    </x:row>
    <x:row r="1604">
      <x:c r="A1604" t="n">
        <x:v>9277</x:v>
      </x:c>
      <x:c r="B1604" t="str">
        <x:v>2024-10</x:v>
      </x:c>
      <x:c r="C1604" t="str">
        <x:v>Contract</x:v>
      </x:c>
      <x:c r="D1604" t="str">
        <x:v>Group B</x:v>
      </x:c>
      <x:c r="E1604" s="26" t="n">
        <x:v>20711.45</x:v>
      </x:c>
      <x:c r="F1604" t="n">
        <x:v>1</x:v>
      </x:c>
      <x:c r="G1604" s="25" t="n">
        <x:v>0.331891</x:v>
      </x:c>
      <x:c r="H1604" t="n">
        <x:f>IF(G1604&lt;$B$6,1,0)</x:f>
        <x:v>0</x:v>
      </x:c>
      <x:c r="I1604" s="26" t="n">
        <x:f>H1604*IF(F1604=0,E1604*$B$7,-E1604*$B$8)</x:f>
        <x:v>0</x:v>
      </x:c>
    </x:row>
    <x:row r="1605">
      <x:c r="A1605" t="n">
        <x:v>9282</x:v>
      </x:c>
      <x:c r="B1605" t="str">
        <x:v>2024-10</x:v>
      </x:c>
      <x:c r="C1605" t="str">
        <x:v>Contract</x:v>
      </x:c>
      <x:c r="D1605" t="str">
        <x:v>Group B</x:v>
      </x:c>
      <x:c r="E1605" s="26" t="n">
        <x:v>35162.11</x:v>
      </x:c>
      <x:c r="F1605" t="n">
        <x:v>0</x:v>
      </x:c>
      <x:c r="G1605" s="25" t="n">
        <x:v>0.102841</x:v>
      </x:c>
      <x:c r="H1605" t="n">
        <x:f>IF(G1605&lt;$B$6,1,0)</x:f>
        <x:v>1</x:v>
      </x:c>
      <x:c r="I1605" s="26" t="n">
        <x:f>H1605*IF(F1605=0,E1605*$B$7,-E1605*$B$8)</x:f>
        <x:v>4219.4532</x:v>
      </x:c>
    </x:row>
    <x:row r="1606">
      <x:c r="A1606" t="n">
        <x:v>9346</x:v>
      </x:c>
      <x:c r="B1606" t="str">
        <x:v>2024-10</x:v>
      </x:c>
      <x:c r="C1606" t="str">
        <x:v>Salaried</x:v>
      </x:c>
      <x:c r="D1606" t="str">
        <x:v>Group A</x:v>
      </x:c>
      <x:c r="E1606" s="26" t="n">
        <x:v>7023.24</x:v>
      </x:c>
      <x:c r="F1606" t="n">
        <x:v>0</x:v>
      </x:c>
      <x:c r="G1606" s="25" t="n">
        <x:v>0.226033</x:v>
      </x:c>
      <x:c r="H1606" t="n">
        <x:f>IF(G1606&lt;$B$6,1,0)</x:f>
        <x:v>0</x:v>
      </x:c>
      <x:c r="I1606" s="26" t="n">
        <x:f>H1606*IF(F1606=0,E1606*$B$7,-E1606*$B$8)</x:f>
        <x:v>0</x:v>
      </x:c>
    </x:row>
    <x:row r="1607">
      <x:c r="A1607" t="n">
        <x:v>9352</x:v>
      </x:c>
      <x:c r="B1607" t="str">
        <x:v>2024-10</x:v>
      </x:c>
      <x:c r="C1607" t="str">
        <x:v>Salaried</x:v>
      </x:c>
      <x:c r="D1607" t="str">
        <x:v>Group A</x:v>
      </x:c>
      <x:c r="E1607" s="26" t="n">
        <x:v>41506.09</x:v>
      </x:c>
      <x:c r="F1607" t="n">
        <x:v>0</x:v>
      </x:c>
      <x:c r="G1607" s="25" t="n">
        <x:v>0.314992</x:v>
      </x:c>
      <x:c r="H1607" t="n">
        <x:f>IF(G1607&lt;$B$6,1,0)</x:f>
        <x:v>0</x:v>
      </x:c>
      <x:c r="I1607" s="26" t="n">
        <x:f>H1607*IF(F1607=0,E1607*$B$7,-E1607*$B$8)</x:f>
        <x:v>0</x:v>
      </x:c>
    </x:row>
    <x:row r="1608">
      <x:c r="A1608" t="n">
        <x:v>9375</x:v>
      </x:c>
      <x:c r="B1608" t="str">
        <x:v>2024-10</x:v>
      </x:c>
      <x:c r="C1608" t="str">
        <x:v>Salaried</x:v>
      </x:c>
      <x:c r="D1608" t="str">
        <x:v>Group A</x:v>
      </x:c>
      <x:c r="E1608" s="26" t="n">
        <x:v>9607.2</x:v>
      </x:c>
      <x:c r="F1608" t="n">
        <x:v>1</x:v>
      </x:c>
      <x:c r="G1608" s="25" t="n">
        <x:v>0.131747</x:v>
      </x:c>
      <x:c r="H1608" t="n">
        <x:f>IF(G1608&lt;$B$6,1,0)</x:f>
        <x:v>1</x:v>
      </x:c>
      <x:c r="I1608" s="26" t="n">
        <x:f>H1608*IF(F1608=0,E1608*$B$7,-E1608*$B$8)</x:f>
        <x:v>-6244.68</x:v>
      </x:c>
    </x:row>
    <x:row r="1609">
      <x:c r="A1609" t="n">
        <x:v>9510</x:v>
      </x:c>
      <x:c r="B1609" t="str">
        <x:v>2024-10</x:v>
      </x:c>
      <x:c r="C1609" t="str">
        <x:v>Self employed</x:v>
      </x:c>
      <x:c r="D1609" t="str">
        <x:v>Group B</x:v>
      </x:c>
      <x:c r="E1609" s="26" t="n">
        <x:v>28826.24</x:v>
      </x:c>
      <x:c r="F1609" t="n">
        <x:v>0</x:v>
      </x:c>
      <x:c r="G1609" s="25" t="n">
        <x:v>0.368587</x:v>
      </x:c>
      <x:c r="H1609" t="n">
        <x:f>IF(G1609&lt;$B$6,1,0)</x:f>
        <x:v>0</x:v>
      </x:c>
      <x:c r="I1609" s="26" t="n">
        <x:f>H1609*IF(F1609=0,E1609*$B$7,-E1609*$B$8)</x:f>
        <x:v>0</x:v>
      </x:c>
    </x:row>
    <x:row r="1610">
      <x:c r="A1610" t="n">
        <x:v>9595</x:v>
      </x:c>
      <x:c r="B1610" t="str">
        <x:v>2024-10</x:v>
      </x:c>
      <x:c r="C1610" t="str">
        <x:v>Contract</x:v>
      </x:c>
      <x:c r="D1610" t="str">
        <x:v>Group A</x:v>
      </x:c>
      <x:c r="E1610" s="26" t="n">
        <x:v>21443.59</x:v>
      </x:c>
      <x:c r="F1610" t="n">
        <x:v>0</x:v>
      </x:c>
      <x:c r="G1610" s="25" t="n">
        <x:v>0.315009</x:v>
      </x:c>
      <x:c r="H1610" t="n">
        <x:f>IF(G1610&lt;$B$6,1,0)</x:f>
        <x:v>0</x:v>
      </x:c>
      <x:c r="I1610" s="26" t="n">
        <x:f>H1610*IF(F1610=0,E1610*$B$7,-E1610*$B$8)</x:f>
        <x:v>0</x:v>
      </x:c>
    </x:row>
    <x:row r="1611">
      <x:c r="A1611" t="n">
        <x:v>9623</x:v>
      </x:c>
      <x:c r="B1611" t="str">
        <x:v>2024-10</x:v>
      </x:c>
      <x:c r="C1611" t="str">
        <x:v>Self employed</x:v>
      </x:c>
      <x:c r="D1611" t="str">
        <x:v>Group A</x:v>
      </x:c>
      <x:c r="E1611" s="26" t="n">
        <x:v>25636.22</x:v>
      </x:c>
      <x:c r="F1611" t="n">
        <x:v>1</x:v>
      </x:c>
      <x:c r="G1611" s="25" t="n">
        <x:v>0.06277</x:v>
      </x:c>
      <x:c r="H1611" t="n">
        <x:f>IF(G1611&lt;$B$6,1,0)</x:f>
        <x:v>1</x:v>
      </x:c>
      <x:c r="I1611" s="26" t="n">
        <x:f>H1611*IF(F1611=0,E1611*$B$7,-E1611*$B$8)</x:f>
        <x:v>-16663.543</x:v>
      </x:c>
    </x:row>
    <x:row r="1612">
      <x:c r="A1612" t="n">
        <x:v>9641</x:v>
      </x:c>
      <x:c r="B1612" t="str">
        <x:v>2024-10</x:v>
      </x:c>
      <x:c r="C1612" t="str">
        <x:v>Contract</x:v>
      </x:c>
      <x:c r="D1612" t="str">
        <x:v>Group B</x:v>
      </x:c>
      <x:c r="E1612" s="26" t="n">
        <x:v>15113.23</x:v>
      </x:c>
      <x:c r="F1612" t="n">
        <x:v>1</x:v>
      </x:c>
      <x:c r="G1612" s="25" t="n">
        <x:v>0.622137</x:v>
      </x:c>
      <x:c r="H1612" t="n">
        <x:f>IF(G1612&lt;$B$6,1,0)</x:f>
        <x:v>0</x:v>
      </x:c>
      <x:c r="I1612" s="26" t="n">
        <x:f>H1612*IF(F1612=0,E1612*$B$7,-E1612*$B$8)</x:f>
        <x:v>0</x:v>
      </x:c>
    </x:row>
    <x:row r="1613">
      <x:c r="A1613" t="n">
        <x:v>9656</x:v>
      </x:c>
      <x:c r="B1613" t="str">
        <x:v>2024-10</x:v>
      </x:c>
      <x:c r="C1613" t="str">
        <x:v>Salaried</x:v>
      </x:c>
      <x:c r="D1613" t="str">
        <x:v>Group A</x:v>
      </x:c>
      <x:c r="E1613" s="26" t="n">
        <x:v>16488</x:v>
      </x:c>
      <x:c r="F1613" t="n">
        <x:v>0</x:v>
      </x:c>
      <x:c r="G1613" s="25" t="n">
        <x:v>0.221271</x:v>
      </x:c>
      <x:c r="H1613" t="n">
        <x:f>IF(G1613&lt;$B$6,1,0)</x:f>
        <x:v>0</x:v>
      </x:c>
      <x:c r="I1613" s="26" t="n">
        <x:f>H1613*IF(F1613=0,E1613*$B$7,-E1613*$B$8)</x:f>
        <x:v>0</x:v>
      </x:c>
    </x:row>
    <x:row r="1614">
      <x:c r="A1614" t="n">
        <x:v>9659</x:v>
      </x:c>
      <x:c r="B1614" t="str">
        <x:v>2024-10</x:v>
      </x:c>
      <x:c r="C1614" t="str">
        <x:v>Contract</x:v>
      </x:c>
      <x:c r="D1614" t="str">
        <x:v>Group A</x:v>
      </x:c>
      <x:c r="E1614" s="26" t="n">
        <x:v>49125.32</x:v>
      </x:c>
      <x:c r="F1614" t="n">
        <x:v>0</x:v>
      </x:c>
      <x:c r="G1614" s="25" t="n">
        <x:v>0.422756</x:v>
      </x:c>
      <x:c r="H1614" t="n">
        <x:f>IF(G1614&lt;$B$6,1,0)</x:f>
        <x:v>0</x:v>
      </x:c>
      <x:c r="I1614" s="26" t="n">
        <x:f>H1614*IF(F1614=0,E1614*$B$7,-E1614*$B$8)</x:f>
        <x:v>0</x:v>
      </x:c>
    </x:row>
    <x:row r="1615">
      <x:c r="A1615" t="n">
        <x:v>9689</x:v>
      </x:c>
      <x:c r="B1615" t="str">
        <x:v>2024-10</x:v>
      </x:c>
      <x:c r="C1615" t="str">
        <x:v>Salaried</x:v>
      </x:c>
      <x:c r="D1615" t="str">
        <x:v>Group B</x:v>
      </x:c>
      <x:c r="E1615" s="26" t="n">
        <x:v>9765.48</x:v>
      </x:c>
      <x:c r="F1615" t="n">
        <x:v>1</x:v>
      </x:c>
      <x:c r="G1615" s="25" t="n">
        <x:v>0.723245</x:v>
      </x:c>
      <x:c r="H1615" t="n">
        <x:f>IF(G1615&lt;$B$6,1,0)</x:f>
        <x:v>0</x:v>
      </x:c>
      <x:c r="I1615" s="26" t="n">
        <x:f>H1615*IF(F1615=0,E1615*$B$7,-E1615*$B$8)</x:f>
        <x:v>0</x:v>
      </x:c>
    </x:row>
    <x:row r="1616">
      <x:c r="A1616" t="n">
        <x:v>9698</x:v>
      </x:c>
      <x:c r="B1616" t="str">
        <x:v>2024-10</x:v>
      </x:c>
      <x:c r="C1616" t="str">
        <x:v>Salaried</x:v>
      </x:c>
      <x:c r="D1616" t="str">
        <x:v>Group B</x:v>
      </x:c>
      <x:c r="E1616" s="26" t="n">
        <x:v>30117.45</x:v>
      </x:c>
      <x:c r="F1616" t="n">
        <x:v>0</x:v>
      </x:c>
      <x:c r="G1616" s="25" t="n">
        <x:v>0.300989</x:v>
      </x:c>
      <x:c r="H1616" t="n">
        <x:f>IF(G1616&lt;$B$6,1,0)</x:f>
        <x:v>0</x:v>
      </x:c>
      <x:c r="I1616" s="26" t="n">
        <x:f>H1616*IF(F1616=0,E1616*$B$7,-E1616*$B$8)</x:f>
        <x:v>0</x:v>
      </x:c>
    </x:row>
    <x:row r="1617">
      <x:c r="A1617" t="n">
        <x:v>9736</x:v>
      </x:c>
      <x:c r="B1617" t="str">
        <x:v>2024-10</x:v>
      </x:c>
      <x:c r="C1617" t="str">
        <x:v>Salaried</x:v>
      </x:c>
      <x:c r="D1617" t="str">
        <x:v>Group B</x:v>
      </x:c>
      <x:c r="E1617" s="26" t="n">
        <x:v>9447.26</x:v>
      </x:c>
      <x:c r="F1617" t="n">
        <x:v>0</x:v>
      </x:c>
      <x:c r="G1617" s="25" t="n">
        <x:v>0.489322</x:v>
      </x:c>
      <x:c r="H1617" t="n">
        <x:f>IF(G1617&lt;$B$6,1,0)</x:f>
        <x:v>0</x:v>
      </x:c>
      <x:c r="I1617" s="26" t="n">
        <x:f>H1617*IF(F1617=0,E1617*$B$7,-E1617*$B$8)</x:f>
        <x:v>0</x:v>
      </x:c>
    </x:row>
    <x:row r="1618">
      <x:c r="A1618" t="n">
        <x:v>9761</x:v>
      </x:c>
      <x:c r="B1618" t="str">
        <x:v>2024-10</x:v>
      </x:c>
      <x:c r="C1618" t="str">
        <x:v>Self employed</x:v>
      </x:c>
      <x:c r="D1618" t="str">
        <x:v>Group A</x:v>
      </x:c>
      <x:c r="E1618" s="26" t="n">
        <x:v>11130.6</x:v>
      </x:c>
      <x:c r="F1618" t="n">
        <x:v>0</x:v>
      </x:c>
      <x:c r="G1618" s="25" t="n">
        <x:v>0.109628</x:v>
      </x:c>
      <x:c r="H1618" t="n">
        <x:f>IF(G1618&lt;$B$6,1,0)</x:f>
        <x:v>1</x:v>
      </x:c>
      <x:c r="I1618" s="26" t="n">
        <x:f>H1618*IF(F1618=0,E1618*$B$7,-E1618*$B$8)</x:f>
        <x:v>1335.672</x:v>
      </x:c>
    </x:row>
    <x:row r="1619">
      <x:c r="A1619" t="n">
        <x:v>9773</x:v>
      </x:c>
      <x:c r="B1619" t="str">
        <x:v>2024-10</x:v>
      </x:c>
      <x:c r="C1619" t="str">
        <x:v>Salaried</x:v>
      </x:c>
      <x:c r="D1619" t="str">
        <x:v>Group A</x:v>
      </x:c>
      <x:c r="E1619" s="26" t="n">
        <x:v>8424.82</x:v>
      </x:c>
      <x:c r="F1619" t="n">
        <x:v>0</x:v>
      </x:c>
      <x:c r="G1619" s="25" t="n">
        <x:v>0.121442</x:v>
      </x:c>
      <x:c r="H1619" t="n">
        <x:f>IF(G1619&lt;$B$6,1,0)</x:f>
        <x:v>1</x:v>
      </x:c>
      <x:c r="I1619" s="26" t="n">
        <x:f>H1619*IF(F1619=0,E1619*$B$7,-E1619*$B$8)</x:f>
        <x:v>1010.9784</x:v>
      </x:c>
    </x:row>
    <x:row r="1620">
      <x:c r="A1620" t="n">
        <x:v>9794</x:v>
      </x:c>
      <x:c r="B1620" t="str">
        <x:v>2024-10</x:v>
      </x:c>
      <x:c r="C1620" t="str">
        <x:v>Contract</x:v>
      </x:c>
      <x:c r="D1620" t="str">
        <x:v>Group A</x:v>
      </x:c>
      <x:c r="E1620" s="26" t="n">
        <x:v>19175.54</x:v>
      </x:c>
      <x:c r="F1620" t="n">
        <x:v>1</x:v>
      </x:c>
      <x:c r="G1620" s="25" t="n">
        <x:v>0.199154</x:v>
      </x:c>
      <x:c r="H1620" t="n">
        <x:f>IF(G1620&lt;$B$6,1,0)</x:f>
        <x:v>0</x:v>
      </x:c>
      <x:c r="I1620" s="26" t="n">
        <x:f>H1620*IF(F1620=0,E1620*$B$7,-E1620*$B$8)</x:f>
        <x:v>0</x:v>
      </x:c>
    </x:row>
    <x:row r="1621">
      <x:c r="A1621" t="n">
        <x:v>9876</x:v>
      </x:c>
      <x:c r="B1621" t="str">
        <x:v>2024-10</x:v>
      </x:c>
      <x:c r="C1621" t="str">
        <x:v>Self employed</x:v>
      </x:c>
      <x:c r="D1621" t="str">
        <x:v>Group B</x:v>
      </x:c>
      <x:c r="E1621" s="26" t="n">
        <x:v>3945.18</x:v>
      </x:c>
      <x:c r="F1621" t="n">
        <x:v>0</x:v>
      </x:c>
      <x:c r="G1621" s="25" t="n">
        <x:v>0.141041</x:v>
      </x:c>
      <x:c r="H1621" t="n">
        <x:f>IF(G1621&lt;$B$6,1,0)</x:f>
        <x:v>1</x:v>
      </x:c>
      <x:c r="I1621" s="26" t="n">
        <x:f>H1621*IF(F1621=0,E1621*$B$7,-E1621*$B$8)</x:f>
        <x:v>473.42159999999996</x:v>
      </x:c>
    </x:row>
    <x:row r="1622">
      <x:c r="A1622" t="n">
        <x:v>9883</x:v>
      </x:c>
      <x:c r="B1622" t="str">
        <x:v>2024-10</x:v>
      </x:c>
      <x:c r="C1622" t="str">
        <x:v>Salaried</x:v>
      </x:c>
      <x:c r="D1622" t="str">
        <x:v>Group B</x:v>
      </x:c>
      <x:c r="E1622" s="26" t="n">
        <x:v>14541.39</x:v>
      </x:c>
      <x:c r="F1622" t="n">
        <x:v>0</x:v>
      </x:c>
      <x:c r="G1622" s="25" t="n">
        <x:v>0.177611</x:v>
      </x:c>
      <x:c r="H1622" t="n">
        <x:f>IF(G1622&lt;$B$6,1,0)</x:f>
        <x:v>0</x:v>
      </x:c>
      <x:c r="I1622" s="26" t="n">
        <x:f>H1622*IF(F1622=0,E1622*$B$7,-E1622*$B$8)</x:f>
        <x:v>0</x:v>
      </x:c>
    </x:row>
    <x:row r="1623">
      <x:c r="A1623" t="n">
        <x:v>9904</x:v>
      </x:c>
      <x:c r="B1623" t="str">
        <x:v>2024-10</x:v>
      </x:c>
      <x:c r="C1623" t="str">
        <x:v>Salaried</x:v>
      </x:c>
      <x:c r="D1623" t="str">
        <x:v>Group A</x:v>
      </x:c>
      <x:c r="E1623" s="26" t="n">
        <x:v>17327.46</x:v>
      </x:c>
      <x:c r="F1623" t="n">
        <x:v>0</x:v>
      </x:c>
      <x:c r="G1623" s="25" t="n">
        <x:v>0.038251</x:v>
      </x:c>
      <x:c r="H1623" t="n">
        <x:f>IF(G1623&lt;$B$6,1,0)</x:f>
        <x:v>1</x:v>
      </x:c>
      <x:c r="I1623" s="26" t="n">
        <x:f>H1623*IF(F1623=0,E1623*$B$7,-E1623*$B$8)</x:f>
        <x:v>2079.2952</x:v>
      </x:c>
    </x:row>
    <x:row r="1624">
      <x:c r="A1624" t="n">
        <x:v>9949</x:v>
      </x:c>
      <x:c r="B1624" t="str">
        <x:v>2024-10</x:v>
      </x:c>
      <x:c r="C1624" t="str">
        <x:v>Salaried</x:v>
      </x:c>
      <x:c r="D1624" t="str">
        <x:v>Group B</x:v>
      </x:c>
      <x:c r="E1624" s="26" t="n">
        <x:v>16843.34</x:v>
      </x:c>
      <x:c r="F1624" t="n">
        <x:v>1</x:v>
      </x:c>
      <x:c r="G1624" s="25" t="n">
        <x:v>0.17646</x:v>
      </x:c>
      <x:c r="H1624" t="n">
        <x:f>IF(G1624&lt;$B$6,1,0)</x:f>
        <x:v>0</x:v>
      </x:c>
      <x:c r="I1624" s="26" t="n">
        <x:f>H1624*IF(F1624=0,E1624*$B$7,-E1624*$B$8)</x:f>
        <x:v>0</x:v>
      </x:c>
    </x:row>
    <x:row r="1625">
      <x:c r="A1625" t="n">
        <x:v>9955</x:v>
      </x:c>
      <x:c r="B1625" t="str">
        <x:v>2024-10</x:v>
      </x:c>
      <x:c r="C1625" t="str">
        <x:v>Contract</x:v>
      </x:c>
      <x:c r="D1625" t="str">
        <x:v>Group A</x:v>
      </x:c>
      <x:c r="E1625" s="26" t="n">
        <x:v>4463.53</x:v>
      </x:c>
      <x:c r="F1625" t="n">
        <x:v>1</x:v>
      </x:c>
      <x:c r="G1625" s="25" t="n">
        <x:v>0.53101</x:v>
      </x:c>
      <x:c r="H1625" t="n">
        <x:f>IF(G1625&lt;$B$6,1,0)</x:f>
        <x:v>0</x:v>
      </x:c>
      <x:c r="I1625" s="26" t="n">
        <x:f>H1625*IF(F1625=0,E1625*$B$7,-E1625*$B$8)</x:f>
        <x:v>0</x:v>
      </x:c>
    </x:row>
    <x:row r="1626">
      <x:c r="A1626" t="n">
        <x:v>42</x:v>
      </x:c>
      <x:c r="B1626" t="str">
        <x:v>2024-11</x:v>
      </x:c>
      <x:c r="C1626" t="str">
        <x:v>Salaried</x:v>
      </x:c>
      <x:c r="D1626" t="str">
        <x:v>Group A</x:v>
      </x:c>
      <x:c r="E1626" s="26" t="n">
        <x:v>9411.8</x:v>
      </x:c>
      <x:c r="F1626" t="n">
        <x:v>0</x:v>
      </x:c>
      <x:c r="G1626" s="25" t="n">
        <x:v>0.166038</x:v>
      </x:c>
      <x:c r="H1626" t="n">
        <x:f>IF(G1626&lt;$B$6,1,0)</x:f>
        <x:v>0</x:v>
      </x:c>
      <x:c r="I1626" s="26" t="n">
        <x:f>H1626*IF(F1626=0,E1626*$B$7,-E1626*$B$8)</x:f>
        <x:v>0</x:v>
      </x:c>
    </x:row>
    <x:row r="1627">
      <x:c r="A1627" t="n">
        <x:v>59</x:v>
      </x:c>
      <x:c r="B1627" t="str">
        <x:v>2024-11</x:v>
      </x:c>
      <x:c r="C1627" t="str">
        <x:v>Self employed</x:v>
      </x:c>
      <x:c r="D1627" t="str">
        <x:v>Group A</x:v>
      </x:c>
      <x:c r="E1627" s="26" t="n">
        <x:v>23233.72</x:v>
      </x:c>
      <x:c r="F1627" t="n">
        <x:v>0</x:v>
      </x:c>
      <x:c r="G1627" s="25" t="n">
        <x:v>0.235713</x:v>
      </x:c>
      <x:c r="H1627" t="n">
        <x:f>IF(G1627&lt;$B$6,1,0)</x:f>
        <x:v>0</x:v>
      </x:c>
      <x:c r="I1627" s="26" t="n">
        <x:f>H1627*IF(F1627=0,E1627*$B$7,-E1627*$B$8)</x:f>
        <x:v>0</x:v>
      </x:c>
    </x:row>
    <x:row r="1628">
      <x:c r="A1628" t="n">
        <x:v>68</x:v>
      </x:c>
      <x:c r="B1628" t="str">
        <x:v>2024-11</x:v>
      </x:c>
      <x:c r="C1628" t="str">
        <x:v>Salaried</x:v>
      </x:c>
      <x:c r="D1628" t="str">
        <x:v>Group A</x:v>
      </x:c>
      <x:c r="E1628" s="26" t="n">
        <x:v>15511.86</x:v>
      </x:c>
      <x:c r="F1628" t="n">
        <x:v>0</x:v>
      </x:c>
      <x:c r="G1628" s="25" t="n">
        <x:v>0.198708</x:v>
      </x:c>
      <x:c r="H1628" t="n">
        <x:f>IF(G1628&lt;$B$6,1,0)</x:f>
        <x:v>0</x:v>
      </x:c>
      <x:c r="I1628" s="26" t="n">
        <x:f>H1628*IF(F1628=0,E1628*$B$7,-E1628*$B$8)</x:f>
        <x:v>0</x:v>
      </x:c>
    </x:row>
    <x:row r="1629">
      <x:c r="A1629" t="n">
        <x:v>82</x:v>
      </x:c>
      <x:c r="B1629" t="str">
        <x:v>2024-11</x:v>
      </x:c>
      <x:c r="C1629" t="str">
        <x:v>Self employed</x:v>
      </x:c>
      <x:c r="D1629" t="str">
        <x:v>Group A</x:v>
      </x:c>
      <x:c r="E1629" s="26" t="n">
        <x:v>54556.54</x:v>
      </x:c>
      <x:c r="F1629" t="n">
        <x:v>0</x:v>
      </x:c>
      <x:c r="G1629" s="25" t="n">
        <x:v>0.618718</x:v>
      </x:c>
      <x:c r="H1629" t="n">
        <x:f>IF(G1629&lt;$B$6,1,0)</x:f>
        <x:v>0</x:v>
      </x:c>
      <x:c r="I1629" s="26" t="n">
        <x:f>H1629*IF(F1629=0,E1629*$B$7,-E1629*$B$8)</x:f>
        <x:v>0</x:v>
      </x:c>
    </x:row>
    <x:row r="1630">
      <x:c r="A1630" t="n">
        <x:v>94</x:v>
      </x:c>
      <x:c r="B1630" t="str">
        <x:v>2024-11</x:v>
      </x:c>
      <x:c r="C1630" t="str">
        <x:v>Contract</x:v>
      </x:c>
      <x:c r="D1630" t="str">
        <x:v>Group A</x:v>
      </x:c>
      <x:c r="E1630" s="26" t="n">
        <x:v>15411.96</x:v>
      </x:c>
      <x:c r="F1630" t="n">
        <x:v>0</x:v>
      </x:c>
      <x:c r="G1630" s="25" t="n">
        <x:v>0.399691</x:v>
      </x:c>
      <x:c r="H1630" t="n">
        <x:f>IF(G1630&lt;$B$6,1,0)</x:f>
        <x:v>0</x:v>
      </x:c>
      <x:c r="I1630" s="26" t="n">
        <x:f>H1630*IF(F1630=0,E1630*$B$7,-E1630*$B$8)</x:f>
        <x:v>0</x:v>
      </x:c>
    </x:row>
    <x:row r="1631">
      <x:c r="A1631" t="n">
        <x:v>131</x:v>
      </x:c>
      <x:c r="B1631" t="str">
        <x:v>2024-11</x:v>
      </x:c>
      <x:c r="C1631" t="str">
        <x:v>Salaried</x:v>
      </x:c>
      <x:c r="D1631" t="str">
        <x:v>Group A</x:v>
      </x:c>
      <x:c r="E1631" s="26" t="n">
        <x:v>12280.75</x:v>
      </x:c>
      <x:c r="F1631" t="n">
        <x:v>1</x:v>
      </x:c>
      <x:c r="G1631" s="25" t="n">
        <x:v>0.211527</x:v>
      </x:c>
      <x:c r="H1631" t="n">
        <x:f>IF(G1631&lt;$B$6,1,0)</x:f>
        <x:v>0</x:v>
      </x:c>
      <x:c r="I1631" s="26" t="n">
        <x:f>H1631*IF(F1631=0,E1631*$B$7,-E1631*$B$8)</x:f>
        <x:v>0</x:v>
      </x:c>
    </x:row>
    <x:row r="1632">
      <x:c r="A1632" t="n">
        <x:v>136</x:v>
      </x:c>
      <x:c r="B1632" t="str">
        <x:v>2024-11</x:v>
      </x:c>
      <x:c r="C1632" t="str">
        <x:v>Contract</x:v>
      </x:c>
      <x:c r="D1632" t="str">
        <x:v>Group A</x:v>
      </x:c>
      <x:c r="E1632" s="26" t="n">
        <x:v>5376.2</x:v>
      </x:c>
      <x:c r="F1632" t="n">
        <x:v>0</x:v>
      </x:c>
      <x:c r="G1632" s="25" t="n">
        <x:v>0.330408</x:v>
      </x:c>
      <x:c r="H1632" t="n">
        <x:f>IF(G1632&lt;$B$6,1,0)</x:f>
        <x:v>0</x:v>
      </x:c>
      <x:c r="I1632" s="26" t="n">
        <x:f>H1632*IF(F1632=0,E1632*$B$7,-E1632*$B$8)</x:f>
        <x:v>0</x:v>
      </x:c>
    </x:row>
    <x:row r="1633">
      <x:c r="A1633" t="n">
        <x:v>156</x:v>
      </x:c>
      <x:c r="B1633" t="str">
        <x:v>2024-11</x:v>
      </x:c>
      <x:c r="C1633" t="str">
        <x:v>Self employed</x:v>
      </x:c>
      <x:c r="D1633" t="str">
        <x:v>Group B</x:v>
      </x:c>
      <x:c r="E1633" s="26" t="n">
        <x:v>7878.17</x:v>
      </x:c>
      <x:c r="F1633" t="n">
        <x:v>0</x:v>
      </x:c>
      <x:c r="G1633" s="25" t="n">
        <x:v>0.099139</x:v>
      </x:c>
      <x:c r="H1633" t="n">
        <x:f>IF(G1633&lt;$B$6,1,0)</x:f>
        <x:v>1</x:v>
      </x:c>
      <x:c r="I1633" s="26" t="n">
        <x:f>H1633*IF(F1633=0,E1633*$B$7,-E1633*$B$8)</x:f>
        <x:v>945.3804</x:v>
      </x:c>
    </x:row>
    <x:row r="1634">
      <x:c r="A1634" t="n">
        <x:v>165</x:v>
      </x:c>
      <x:c r="B1634" t="str">
        <x:v>2024-11</x:v>
      </x:c>
      <x:c r="C1634" t="str">
        <x:v>Contract</x:v>
      </x:c>
      <x:c r="D1634" t="str">
        <x:v>Group B</x:v>
      </x:c>
      <x:c r="E1634" s="26" t="n">
        <x:v>12484.3</x:v>
      </x:c>
      <x:c r="F1634" t="n">
        <x:v>1</x:v>
      </x:c>
      <x:c r="G1634" s="25" t="n">
        <x:v>0.237721</x:v>
      </x:c>
      <x:c r="H1634" t="n">
        <x:f>IF(G1634&lt;$B$6,1,0)</x:f>
        <x:v>0</x:v>
      </x:c>
      <x:c r="I1634" s="26" t="n">
        <x:f>H1634*IF(F1634=0,E1634*$B$7,-E1634*$B$8)</x:f>
        <x:v>0</x:v>
      </x:c>
    </x:row>
    <x:row r="1635">
      <x:c r="A1635" t="n">
        <x:v>172</x:v>
      </x:c>
      <x:c r="B1635" t="str">
        <x:v>2024-11</x:v>
      </x:c>
      <x:c r="C1635" t="str">
        <x:v>Salaried</x:v>
      </x:c>
      <x:c r="D1635" t="str">
        <x:v>Group A</x:v>
      </x:c>
      <x:c r="E1635" s="26" t="n">
        <x:v>18336.36</x:v>
      </x:c>
      <x:c r="F1635" t="n">
        <x:v>0</x:v>
      </x:c>
      <x:c r="G1635" s="25" t="n">
        <x:v>0.222183</x:v>
      </x:c>
      <x:c r="H1635" t="n">
        <x:f>IF(G1635&lt;$B$6,1,0)</x:f>
        <x:v>0</x:v>
      </x:c>
      <x:c r="I1635" s="26" t="n">
        <x:f>H1635*IF(F1635=0,E1635*$B$7,-E1635*$B$8)</x:f>
        <x:v>0</x:v>
      </x:c>
    </x:row>
    <x:row r="1636">
      <x:c r="A1636" t="n">
        <x:v>196</x:v>
      </x:c>
      <x:c r="B1636" t="str">
        <x:v>2024-11</x:v>
      </x:c>
      <x:c r="C1636" t="str">
        <x:v>Salaried</x:v>
      </x:c>
      <x:c r="D1636" t="str">
        <x:v>Group B</x:v>
      </x:c>
      <x:c r="E1636" s="26" t="n">
        <x:v>12202.09</x:v>
      </x:c>
      <x:c r="F1636" t="n">
        <x:v>1</x:v>
      </x:c>
      <x:c r="G1636" s="25" t="n">
        <x:v>0.512072</x:v>
      </x:c>
      <x:c r="H1636" t="n">
        <x:f>IF(G1636&lt;$B$6,1,0)</x:f>
        <x:v>0</x:v>
      </x:c>
      <x:c r="I1636" s="26" t="n">
        <x:f>H1636*IF(F1636=0,E1636*$B$7,-E1636*$B$8)</x:f>
        <x:v>0</x:v>
      </x:c>
    </x:row>
    <x:row r="1637">
      <x:c r="A1637" t="n">
        <x:v>198</x:v>
      </x:c>
      <x:c r="B1637" t="str">
        <x:v>2024-11</x:v>
      </x:c>
      <x:c r="C1637" t="str">
        <x:v>Salaried</x:v>
      </x:c>
      <x:c r="D1637" t="str">
        <x:v>Group A</x:v>
      </x:c>
      <x:c r="E1637" s="26" t="n">
        <x:v>12623.51</x:v>
      </x:c>
      <x:c r="F1637" t="n">
        <x:v>0</x:v>
      </x:c>
      <x:c r="G1637" s="25" t="n">
        <x:v>0.201204</x:v>
      </x:c>
      <x:c r="H1637" t="n">
        <x:f>IF(G1637&lt;$B$6,1,0)</x:f>
        <x:v>0</x:v>
      </x:c>
      <x:c r="I1637" s="26" t="n">
        <x:f>H1637*IF(F1637=0,E1637*$B$7,-E1637*$B$8)</x:f>
        <x:v>0</x:v>
      </x:c>
    </x:row>
    <x:row r="1638">
      <x:c r="A1638" t="n">
        <x:v>251</x:v>
      </x:c>
      <x:c r="B1638" t="str">
        <x:v>2024-11</x:v>
      </x:c>
      <x:c r="C1638" t="str">
        <x:v>Salaried</x:v>
      </x:c>
      <x:c r="D1638" t="str">
        <x:v>Group A</x:v>
      </x:c>
      <x:c r="E1638" s="26" t="n">
        <x:v>11544.59</x:v>
      </x:c>
      <x:c r="F1638" t="n">
        <x:v>1</x:v>
      </x:c>
      <x:c r="G1638" s="25" t="n">
        <x:v>0.344507</x:v>
      </x:c>
      <x:c r="H1638" t="n">
        <x:f>IF(G1638&lt;$B$6,1,0)</x:f>
        <x:v>0</x:v>
      </x:c>
      <x:c r="I1638" s="26" t="n">
        <x:f>H1638*IF(F1638=0,E1638*$B$7,-E1638*$B$8)</x:f>
        <x:v>0</x:v>
      </x:c>
    </x:row>
    <x:row r="1639">
      <x:c r="A1639" t="n">
        <x:v>268</x:v>
      </x:c>
      <x:c r="B1639" t="str">
        <x:v>2024-11</x:v>
      </x:c>
      <x:c r="C1639" t="str">
        <x:v>Salaried</x:v>
      </x:c>
      <x:c r="D1639" t="str">
        <x:v>Group A</x:v>
      </x:c>
      <x:c r="E1639" s="26" t="n">
        <x:v>11974.51</x:v>
      </x:c>
      <x:c r="F1639" t="n">
        <x:v>0</x:v>
      </x:c>
      <x:c r="G1639" s="25" t="n">
        <x:v>0.185283</x:v>
      </x:c>
      <x:c r="H1639" t="n">
        <x:f>IF(G1639&lt;$B$6,1,0)</x:f>
        <x:v>0</x:v>
      </x:c>
      <x:c r="I1639" s="26" t="n">
        <x:f>H1639*IF(F1639=0,E1639*$B$7,-E1639*$B$8)</x:f>
        <x:v>0</x:v>
      </x:c>
    </x:row>
    <x:row r="1640">
      <x:c r="A1640" t="n">
        <x:v>277</x:v>
      </x:c>
      <x:c r="B1640" t="str">
        <x:v>2024-11</x:v>
      </x:c>
      <x:c r="C1640" t="str">
        <x:v>Salaried</x:v>
      </x:c>
      <x:c r="D1640" t="str">
        <x:v>Group A</x:v>
      </x:c>
      <x:c r="E1640" s="26" t="n">
        <x:v>41840.03</x:v>
      </x:c>
      <x:c r="F1640" t="n">
        <x:v>0</x:v>
      </x:c>
      <x:c r="G1640" s="25" t="n">
        <x:v>0.077045</x:v>
      </x:c>
      <x:c r="H1640" t="n">
        <x:f>IF(G1640&lt;$B$6,1,0)</x:f>
        <x:v>1</x:v>
      </x:c>
      <x:c r="I1640" s="26" t="n">
        <x:f>H1640*IF(F1640=0,E1640*$B$7,-E1640*$B$8)</x:f>
        <x:v>5020.803599999999</x:v>
      </x:c>
    </x:row>
    <x:row r="1641">
      <x:c r="A1641" t="n">
        <x:v>284</x:v>
      </x:c>
      <x:c r="B1641" t="str">
        <x:v>2024-11</x:v>
      </x:c>
      <x:c r="C1641" t="str">
        <x:v>Salaried</x:v>
      </x:c>
      <x:c r="D1641" t="str">
        <x:v>Group A</x:v>
      </x:c>
      <x:c r="E1641" s="26" t="n">
        <x:v>15553.58</x:v>
      </x:c>
      <x:c r="F1641" t="n">
        <x:v>0</x:v>
      </x:c>
      <x:c r="G1641" s="25" t="n">
        <x:v>0.066325</x:v>
      </x:c>
      <x:c r="H1641" t="n">
        <x:f>IF(G1641&lt;$B$6,1,0)</x:f>
        <x:v>1</x:v>
      </x:c>
      <x:c r="I1641" s="26" t="n">
        <x:f>H1641*IF(F1641=0,E1641*$B$7,-E1641*$B$8)</x:f>
        <x:v>1866.4296</x:v>
      </x:c>
    </x:row>
    <x:row r="1642">
      <x:c r="A1642" t="n">
        <x:v>320</x:v>
      </x:c>
      <x:c r="B1642" t="str">
        <x:v>2024-11</x:v>
      </x:c>
      <x:c r="C1642" t="str">
        <x:v>Self employed</x:v>
      </x:c>
      <x:c r="D1642" t="str">
        <x:v>Group A</x:v>
      </x:c>
      <x:c r="E1642" s="26" t="n">
        <x:v>15187.2</x:v>
      </x:c>
      <x:c r="F1642" t="n">
        <x:v>0</x:v>
      </x:c>
      <x:c r="G1642" s="25" t="n">
        <x:v>0.282346</x:v>
      </x:c>
      <x:c r="H1642" t="n">
        <x:f>IF(G1642&lt;$B$6,1,0)</x:f>
        <x:v>0</x:v>
      </x:c>
      <x:c r="I1642" s="26" t="n">
        <x:f>H1642*IF(F1642=0,E1642*$B$7,-E1642*$B$8)</x:f>
        <x:v>0</x:v>
      </x:c>
    </x:row>
    <x:row r="1643">
      <x:c r="A1643" t="n">
        <x:v>330</x:v>
      </x:c>
      <x:c r="B1643" t="str">
        <x:v>2024-11</x:v>
      </x:c>
      <x:c r="C1643" t="str">
        <x:v>Salaried</x:v>
      </x:c>
      <x:c r="D1643" t="str">
        <x:v>Group B</x:v>
      </x:c>
      <x:c r="E1643" s="26" t="n">
        <x:v>23499.07</x:v>
      </x:c>
      <x:c r="F1643" t="n">
        <x:v>0</x:v>
      </x:c>
      <x:c r="G1643" s="25" t="n">
        <x:v>0.146176</x:v>
      </x:c>
      <x:c r="H1643" t="n">
        <x:f>IF(G1643&lt;$B$6,1,0)</x:f>
        <x:v>1</x:v>
      </x:c>
      <x:c r="I1643" s="26" t="n">
        <x:f>H1643*IF(F1643=0,E1643*$B$7,-E1643*$B$8)</x:f>
        <x:v>2819.8884</x:v>
      </x:c>
    </x:row>
    <x:row r="1644">
      <x:c r="A1644" t="n">
        <x:v>340</x:v>
      </x:c>
      <x:c r="B1644" t="str">
        <x:v>2024-11</x:v>
      </x:c>
      <x:c r="C1644" t="str">
        <x:v>Salaried</x:v>
      </x:c>
      <x:c r="D1644" t="str">
        <x:v>Group A</x:v>
      </x:c>
      <x:c r="E1644" s="26" t="n">
        <x:v>26233.29</x:v>
      </x:c>
      <x:c r="F1644" t="n">
        <x:v>0</x:v>
      </x:c>
      <x:c r="G1644" s="25" t="n">
        <x:v>0.350249</x:v>
      </x:c>
      <x:c r="H1644" t="n">
        <x:f>IF(G1644&lt;$B$6,1,0)</x:f>
        <x:v>0</x:v>
      </x:c>
      <x:c r="I1644" s="26" t="n">
        <x:f>H1644*IF(F1644=0,E1644*$B$7,-E1644*$B$8)</x:f>
        <x:v>0</x:v>
      </x:c>
    </x:row>
    <x:row r="1645">
      <x:c r="A1645" t="n">
        <x:v>343</x:v>
      </x:c>
      <x:c r="B1645" t="str">
        <x:v>2024-11</x:v>
      </x:c>
      <x:c r="C1645" t="str">
        <x:v>Self employed</x:v>
      </x:c>
      <x:c r="D1645" t="str">
        <x:v>Group B</x:v>
      </x:c>
      <x:c r="E1645" s="26" t="n">
        <x:v>9674.32</x:v>
      </x:c>
      <x:c r="F1645" t="n">
        <x:v>0</x:v>
      </x:c>
      <x:c r="G1645" s="25" t="n">
        <x:v>0.052577</x:v>
      </x:c>
      <x:c r="H1645" t="n">
        <x:f>IF(G1645&lt;$B$6,1,0)</x:f>
        <x:v>1</x:v>
      </x:c>
      <x:c r="I1645" s="26" t="n">
        <x:f>H1645*IF(F1645=0,E1645*$B$7,-E1645*$B$8)</x:f>
        <x:v>1160.9184</x:v>
      </x:c>
    </x:row>
    <x:row r="1646">
      <x:c r="A1646" t="n">
        <x:v>433</x:v>
      </x:c>
      <x:c r="B1646" t="str">
        <x:v>2024-11</x:v>
      </x:c>
      <x:c r="C1646" t="str">
        <x:v>Salaried</x:v>
      </x:c>
      <x:c r="D1646" t="str">
        <x:v>Group B</x:v>
      </x:c>
      <x:c r="E1646" s="26" t="n">
        <x:v>46397.88</x:v>
      </x:c>
      <x:c r="F1646" t="n">
        <x:v>1</x:v>
      </x:c>
      <x:c r="G1646" s="25" t="n">
        <x:v>0.591579</x:v>
      </x:c>
      <x:c r="H1646" t="n">
        <x:f>IF(G1646&lt;$B$6,1,0)</x:f>
        <x:v>0</x:v>
      </x:c>
      <x:c r="I1646" s="26" t="n">
        <x:f>H1646*IF(F1646=0,E1646*$B$7,-E1646*$B$8)</x:f>
        <x:v>0</x:v>
      </x:c>
    </x:row>
    <x:row r="1647">
      <x:c r="A1647" t="n">
        <x:v>437</x:v>
      </x:c>
      <x:c r="B1647" t="str">
        <x:v>2024-11</x:v>
      </x:c>
      <x:c r="C1647" t="str">
        <x:v>Contract</x:v>
      </x:c>
      <x:c r="D1647" t="str">
        <x:v>Group B</x:v>
      </x:c>
      <x:c r="E1647" s="26" t="n">
        <x:v>13988.68</x:v>
      </x:c>
      <x:c r="F1647" t="n">
        <x:v>0</x:v>
      </x:c>
      <x:c r="G1647" s="25" t="n">
        <x:v>0.299322</x:v>
      </x:c>
      <x:c r="H1647" t="n">
        <x:f>IF(G1647&lt;$B$6,1,0)</x:f>
        <x:v>0</x:v>
      </x:c>
      <x:c r="I1647" s="26" t="n">
        <x:f>H1647*IF(F1647=0,E1647*$B$7,-E1647*$B$8)</x:f>
        <x:v>0</x:v>
      </x:c>
    </x:row>
    <x:row r="1648">
      <x:c r="A1648" t="n">
        <x:v>465</x:v>
      </x:c>
      <x:c r="B1648" t="str">
        <x:v>2024-11</x:v>
      </x:c>
      <x:c r="C1648" t="str">
        <x:v>Salaried</x:v>
      </x:c>
      <x:c r="D1648" t="str">
        <x:v>Group B</x:v>
      </x:c>
      <x:c r="E1648" s="26" t="n">
        <x:v>14679.84</x:v>
      </x:c>
      <x:c r="F1648" t="n">
        <x:v>1</x:v>
      </x:c>
      <x:c r="G1648" s="25" t="n">
        <x:v>0.374496</x:v>
      </x:c>
      <x:c r="H1648" t="n">
        <x:f>IF(G1648&lt;$B$6,1,0)</x:f>
        <x:v>0</x:v>
      </x:c>
      <x:c r="I1648" s="26" t="n">
        <x:f>H1648*IF(F1648=0,E1648*$B$7,-E1648*$B$8)</x:f>
        <x:v>0</x:v>
      </x:c>
    </x:row>
    <x:row r="1649">
      <x:c r="A1649" t="n">
        <x:v>467</x:v>
      </x:c>
      <x:c r="B1649" t="str">
        <x:v>2024-11</x:v>
      </x:c>
      <x:c r="C1649" t="str">
        <x:v>Salaried</x:v>
      </x:c>
      <x:c r="D1649" t="str">
        <x:v>Group A</x:v>
      </x:c>
      <x:c r="E1649" s="26" t="n">
        <x:v>75000</x:v>
      </x:c>
      <x:c r="F1649" t="n">
        <x:v>0</x:v>
      </x:c>
      <x:c r="G1649" s="25" t="n">
        <x:v>0.075748</x:v>
      </x:c>
      <x:c r="H1649" t="n">
        <x:f>IF(G1649&lt;$B$6,1,0)</x:f>
        <x:v>1</x:v>
      </x:c>
      <x:c r="I1649" s="26" t="n">
        <x:f>H1649*IF(F1649=0,E1649*$B$7,-E1649*$B$8)</x:f>
        <x:v>9000</x:v>
      </x:c>
    </x:row>
    <x:row r="1650">
      <x:c r="A1650" t="n">
        <x:v>526</x:v>
      </x:c>
      <x:c r="B1650" t="str">
        <x:v>2024-11</x:v>
      </x:c>
      <x:c r="C1650" t="str">
        <x:v>Self employed</x:v>
      </x:c>
      <x:c r="D1650" t="str">
        <x:v>Group B</x:v>
      </x:c>
      <x:c r="E1650" s="26" t="n">
        <x:v>16870.19</x:v>
      </x:c>
      <x:c r="F1650" t="n">
        <x:v>0</x:v>
      </x:c>
      <x:c r="G1650" s="25" t="n">
        <x:v>0.301994</x:v>
      </x:c>
      <x:c r="H1650" t="n">
        <x:f>IF(G1650&lt;$B$6,1,0)</x:f>
        <x:v>0</x:v>
      </x:c>
      <x:c r="I1650" s="26" t="n">
        <x:f>H1650*IF(F1650=0,E1650*$B$7,-E1650*$B$8)</x:f>
        <x:v>0</x:v>
      </x:c>
    </x:row>
    <x:row r="1651">
      <x:c r="A1651" t="n">
        <x:v>529</x:v>
      </x:c>
      <x:c r="B1651" t="str">
        <x:v>2024-11</x:v>
      </x:c>
      <x:c r="C1651" t="str">
        <x:v>Salaried</x:v>
      </x:c>
      <x:c r="D1651" t="str">
        <x:v>Group B</x:v>
      </x:c>
      <x:c r="E1651" s="26" t="n">
        <x:v>9324.76</x:v>
      </x:c>
      <x:c r="F1651" t="n">
        <x:v>0</x:v>
      </x:c>
      <x:c r="G1651" s="25" t="n">
        <x:v>0.090736</x:v>
      </x:c>
      <x:c r="H1651" t="n">
        <x:f>IF(G1651&lt;$B$6,1,0)</x:f>
        <x:v>1</x:v>
      </x:c>
      <x:c r="I1651" s="26" t="n">
        <x:f>H1651*IF(F1651=0,E1651*$B$7,-E1651*$B$8)</x:f>
        <x:v>1118.9712</x:v>
      </x:c>
    </x:row>
    <x:row r="1652">
      <x:c r="A1652" t="n">
        <x:v>639</x:v>
      </x:c>
      <x:c r="B1652" t="str">
        <x:v>2024-11</x:v>
      </x:c>
      <x:c r="C1652" t="str">
        <x:v>Contract</x:v>
      </x:c>
      <x:c r="D1652" t="str">
        <x:v>Group A</x:v>
      </x:c>
      <x:c r="E1652" s="26" t="n">
        <x:v>12748.4</x:v>
      </x:c>
      <x:c r="F1652" t="n">
        <x:v>0</x:v>
      </x:c>
      <x:c r="G1652" s="25" t="n">
        <x:v>0.30834</x:v>
      </x:c>
      <x:c r="H1652" t="n">
        <x:f>IF(G1652&lt;$B$6,1,0)</x:f>
        <x:v>0</x:v>
      </x:c>
      <x:c r="I1652" s="26" t="n">
        <x:f>H1652*IF(F1652=0,E1652*$B$7,-E1652*$B$8)</x:f>
        <x:v>0</x:v>
      </x:c>
    </x:row>
    <x:row r="1653">
      <x:c r="A1653" t="n">
        <x:v>656</x:v>
      </x:c>
      <x:c r="B1653" t="str">
        <x:v>2024-11</x:v>
      </x:c>
      <x:c r="C1653" t="str">
        <x:v>Self employed</x:v>
      </x:c>
      <x:c r="D1653" t="str">
        <x:v>Group B</x:v>
      </x:c>
      <x:c r="E1653" s="26" t="n">
        <x:v>30791.82</x:v>
      </x:c>
      <x:c r="F1653" t="n">
        <x:v>0</x:v>
      </x:c>
      <x:c r="G1653" s="25" t="n">
        <x:v>0.120975</x:v>
      </x:c>
      <x:c r="H1653" t="n">
        <x:f>IF(G1653&lt;$B$6,1,0)</x:f>
        <x:v>1</x:v>
      </x:c>
      <x:c r="I1653" s="26" t="n">
        <x:f>H1653*IF(F1653=0,E1653*$B$7,-E1653*$B$8)</x:f>
        <x:v>3695.0184</x:v>
      </x:c>
    </x:row>
    <x:row r="1654">
      <x:c r="A1654" t="n">
        <x:v>672</x:v>
      </x:c>
      <x:c r="B1654" t="str">
        <x:v>2024-11</x:v>
      </x:c>
      <x:c r="C1654" t="str">
        <x:v>Salaried</x:v>
      </x:c>
      <x:c r="D1654" t="str">
        <x:v>Group A</x:v>
      </x:c>
      <x:c r="E1654" s="26" t="n">
        <x:v>11761.53</x:v>
      </x:c>
      <x:c r="F1654" t="n">
        <x:v>0</x:v>
      </x:c>
      <x:c r="G1654" s="25" t="n">
        <x:v>0.075313</x:v>
      </x:c>
      <x:c r="H1654" t="n">
        <x:f>IF(G1654&lt;$B$6,1,0)</x:f>
        <x:v>1</x:v>
      </x:c>
      <x:c r="I1654" s="26" t="n">
        <x:f>H1654*IF(F1654=0,E1654*$B$7,-E1654*$B$8)</x:f>
        <x:v>1411.3836000000001</x:v>
      </x:c>
    </x:row>
    <x:row r="1655">
      <x:c r="A1655" t="n">
        <x:v>682</x:v>
      </x:c>
      <x:c r="B1655" t="str">
        <x:v>2024-11</x:v>
      </x:c>
      <x:c r="C1655" t="str">
        <x:v>Salaried</x:v>
      </x:c>
      <x:c r="D1655" t="str">
        <x:v>Group A</x:v>
      </x:c>
      <x:c r="E1655" s="26" t="n">
        <x:v>6339.98</x:v>
      </x:c>
      <x:c r="F1655" t="n">
        <x:v>1</x:v>
      </x:c>
      <x:c r="G1655" s="25" t="n">
        <x:v>0.378778</x:v>
      </x:c>
      <x:c r="H1655" t="n">
        <x:f>IF(G1655&lt;$B$6,1,0)</x:f>
        <x:v>0</x:v>
      </x:c>
      <x:c r="I1655" s="26" t="n">
        <x:f>H1655*IF(F1655=0,E1655*$B$7,-E1655*$B$8)</x:f>
        <x:v>0</x:v>
      </x:c>
    </x:row>
    <x:row r="1656">
      <x:c r="A1656" t="n">
        <x:v>689</x:v>
      </x:c>
      <x:c r="B1656" t="str">
        <x:v>2024-11</x:v>
      </x:c>
      <x:c r="C1656" t="str">
        <x:v>Salaried</x:v>
      </x:c>
      <x:c r="D1656" t="str">
        <x:v>Group A</x:v>
      </x:c>
      <x:c r="E1656" s="26" t="n">
        <x:v>3883.12</x:v>
      </x:c>
      <x:c r="F1656" t="n">
        <x:v>0</x:v>
      </x:c>
      <x:c r="G1656" s="25" t="n">
        <x:v>0.461968</x:v>
      </x:c>
      <x:c r="H1656" t="n">
        <x:f>IF(G1656&lt;$B$6,1,0)</x:f>
        <x:v>0</x:v>
      </x:c>
      <x:c r="I1656" s="26" t="n">
        <x:f>H1656*IF(F1656=0,E1656*$B$7,-E1656*$B$8)</x:f>
        <x:v>0</x:v>
      </x:c>
    </x:row>
    <x:row r="1657">
      <x:c r="A1657" t="n">
        <x:v>721</x:v>
      </x:c>
      <x:c r="B1657" t="str">
        <x:v>2024-11</x:v>
      </x:c>
      <x:c r="C1657" t="str">
        <x:v>Salaried</x:v>
      </x:c>
      <x:c r="D1657" t="str">
        <x:v>Group B</x:v>
      </x:c>
      <x:c r="E1657" s="26" t="n">
        <x:v>17374.96</x:v>
      </x:c>
      <x:c r="F1657" t="n">
        <x:v>0</x:v>
      </x:c>
      <x:c r="G1657" s="25" t="n">
        <x:v>0.164605</x:v>
      </x:c>
      <x:c r="H1657" t="n">
        <x:f>IF(G1657&lt;$B$6,1,0)</x:f>
        <x:v>0</x:v>
      </x:c>
      <x:c r="I1657" s="26" t="n">
        <x:f>H1657*IF(F1657=0,E1657*$B$7,-E1657*$B$8)</x:f>
        <x:v>0</x:v>
      </x:c>
    </x:row>
    <x:row r="1658">
      <x:c r="A1658" t="n">
        <x:v>737</x:v>
      </x:c>
      <x:c r="B1658" t="str">
        <x:v>2024-11</x:v>
      </x:c>
      <x:c r="C1658" t="str">
        <x:v>Self employed</x:v>
      </x:c>
      <x:c r="D1658" t="str">
        <x:v>Group B</x:v>
      </x:c>
      <x:c r="E1658" s="26" t="n">
        <x:v>38046.68</x:v>
      </x:c>
      <x:c r="F1658" t="n">
        <x:v>1</x:v>
      </x:c>
      <x:c r="G1658" s="25" t="n">
        <x:v>0.34384</x:v>
      </x:c>
      <x:c r="H1658" t="n">
        <x:f>IF(G1658&lt;$B$6,1,0)</x:f>
        <x:v>0</x:v>
      </x:c>
      <x:c r="I1658" s="26" t="n">
        <x:f>H1658*IF(F1658=0,E1658*$B$7,-E1658*$B$8)</x:f>
        <x:v>0</x:v>
      </x:c>
    </x:row>
    <x:row r="1659">
      <x:c r="A1659" t="n">
        <x:v>761</x:v>
      </x:c>
      <x:c r="B1659" t="str">
        <x:v>2024-11</x:v>
      </x:c>
      <x:c r="C1659" t="str">
        <x:v>Salaried</x:v>
      </x:c>
      <x:c r="D1659" t="str">
        <x:v>Group B</x:v>
      </x:c>
      <x:c r="E1659" s="26" t="n">
        <x:v>10677.24</x:v>
      </x:c>
      <x:c r="F1659" t="n">
        <x:v>0</x:v>
      </x:c>
      <x:c r="G1659" s="25" t="n">
        <x:v>0.407603</x:v>
      </x:c>
      <x:c r="H1659" t="n">
        <x:f>IF(G1659&lt;$B$6,1,0)</x:f>
        <x:v>0</x:v>
      </x:c>
      <x:c r="I1659" s="26" t="n">
        <x:f>H1659*IF(F1659=0,E1659*$B$7,-E1659*$B$8)</x:f>
        <x:v>0</x:v>
      </x:c>
    </x:row>
    <x:row r="1660">
      <x:c r="A1660" t="n">
        <x:v>807</x:v>
      </x:c>
      <x:c r="B1660" t="str">
        <x:v>2024-11</x:v>
      </x:c>
      <x:c r="C1660" t="str">
        <x:v>Salaried</x:v>
      </x:c>
      <x:c r="D1660" t="str">
        <x:v>Group A</x:v>
      </x:c>
      <x:c r="E1660" s="26" t="n">
        <x:v>27796.79</x:v>
      </x:c>
      <x:c r="F1660" t="n">
        <x:v>0</x:v>
      </x:c>
      <x:c r="G1660" s="25" t="n">
        <x:v>0.184284</x:v>
      </x:c>
      <x:c r="H1660" t="n">
        <x:f>IF(G1660&lt;$B$6,1,0)</x:f>
        <x:v>0</x:v>
      </x:c>
      <x:c r="I1660" s="26" t="n">
        <x:f>H1660*IF(F1660=0,E1660*$B$7,-E1660*$B$8)</x:f>
        <x:v>0</x:v>
      </x:c>
    </x:row>
    <x:row r="1661">
      <x:c r="A1661" t="n">
        <x:v>850</x:v>
      </x:c>
      <x:c r="B1661" t="str">
        <x:v>2024-11</x:v>
      </x:c>
      <x:c r="C1661" t="str">
        <x:v>Salaried</x:v>
      </x:c>
      <x:c r="D1661" t="str">
        <x:v>Group A</x:v>
      </x:c>
      <x:c r="E1661" s="26" t="n">
        <x:v>31298.71</x:v>
      </x:c>
      <x:c r="F1661" t="n">
        <x:v>1</x:v>
      </x:c>
      <x:c r="G1661" s="25" t="n">
        <x:v>0.44667</x:v>
      </x:c>
      <x:c r="H1661" t="n">
        <x:f>IF(G1661&lt;$B$6,1,0)</x:f>
        <x:v>0</x:v>
      </x:c>
      <x:c r="I1661" s="26" t="n">
        <x:f>H1661*IF(F1661=0,E1661*$B$7,-E1661*$B$8)</x:f>
        <x:v>0</x:v>
      </x:c>
    </x:row>
    <x:row r="1662">
      <x:c r="A1662" t="n">
        <x:v>854</x:v>
      </x:c>
      <x:c r="B1662" t="str">
        <x:v>2024-11</x:v>
      </x:c>
      <x:c r="C1662" t="str">
        <x:v>Salaried</x:v>
      </x:c>
      <x:c r="D1662" t="str">
        <x:v>Group B</x:v>
      </x:c>
      <x:c r="E1662" s="26" t="n">
        <x:v>75000</x:v>
      </x:c>
      <x:c r="F1662" t="n">
        <x:v>0</x:v>
      </x:c>
      <x:c r="G1662" s="25" t="n">
        <x:v>0.030303</x:v>
      </x:c>
      <x:c r="H1662" t="n">
        <x:f>IF(G1662&lt;$B$6,1,0)</x:f>
        <x:v>1</x:v>
      </x:c>
      <x:c r="I1662" s="26" t="n">
        <x:f>H1662*IF(F1662=0,E1662*$B$7,-E1662*$B$8)</x:f>
        <x:v>9000</x:v>
      </x:c>
    </x:row>
    <x:row r="1663">
      <x:c r="A1663" t="n">
        <x:v>855</x:v>
      </x:c>
      <x:c r="B1663" t="str">
        <x:v>2024-11</x:v>
      </x:c>
      <x:c r="C1663" t="str">
        <x:v>Salaried</x:v>
      </x:c>
      <x:c r="D1663" t="str">
        <x:v>Group A</x:v>
      </x:c>
      <x:c r="E1663" s="26" t="n">
        <x:v>41214.28</x:v>
      </x:c>
      <x:c r="F1663" t="n">
        <x:v>1</x:v>
      </x:c>
      <x:c r="G1663" s="25" t="n">
        <x:v>0.322038</x:v>
      </x:c>
      <x:c r="H1663" t="n">
        <x:f>IF(G1663&lt;$B$6,1,0)</x:f>
        <x:v>0</x:v>
      </x:c>
      <x:c r="I1663" s="26" t="n">
        <x:f>H1663*IF(F1663=0,E1663*$B$7,-E1663*$B$8)</x:f>
        <x:v>0</x:v>
      </x:c>
    </x:row>
    <x:row r="1664">
      <x:c r="A1664" t="n">
        <x:v>856</x:v>
      </x:c>
      <x:c r="B1664" t="str">
        <x:v>2024-11</x:v>
      </x:c>
      <x:c r="C1664" t="str">
        <x:v>Self employed</x:v>
      </x:c>
      <x:c r="D1664" t="str">
        <x:v>Group A</x:v>
      </x:c>
      <x:c r="E1664" s="26" t="n">
        <x:v>16090.86</x:v>
      </x:c>
      <x:c r="F1664" t="n">
        <x:v>0</x:v>
      </x:c>
      <x:c r="G1664" s="25" t="n">
        <x:v>0.121474</x:v>
      </x:c>
      <x:c r="H1664" t="n">
        <x:f>IF(G1664&lt;$B$6,1,0)</x:f>
        <x:v>1</x:v>
      </x:c>
      <x:c r="I1664" s="26" t="n">
        <x:f>H1664*IF(F1664=0,E1664*$B$7,-E1664*$B$8)</x:f>
        <x:v>1930.9032</x:v>
      </x:c>
    </x:row>
    <x:row r="1665">
      <x:c r="A1665" t="n">
        <x:v>864</x:v>
      </x:c>
      <x:c r="B1665" t="str">
        <x:v>2024-11</x:v>
      </x:c>
      <x:c r="C1665" t="str">
        <x:v>Salaried</x:v>
      </x:c>
      <x:c r="D1665" t="str">
        <x:v>Group B</x:v>
      </x:c>
      <x:c r="E1665" s="26" t="n">
        <x:v>7149.85</x:v>
      </x:c>
      <x:c r="F1665" t="n">
        <x:v>0</x:v>
      </x:c>
      <x:c r="G1665" s="25" t="n">
        <x:v>0.086237</x:v>
      </x:c>
      <x:c r="H1665" t="n">
        <x:f>IF(G1665&lt;$B$6,1,0)</x:f>
        <x:v>1</x:v>
      </x:c>
      <x:c r="I1665" s="26" t="n">
        <x:f>H1665*IF(F1665=0,E1665*$B$7,-E1665*$B$8)</x:f>
        <x:v>857.982</x:v>
      </x:c>
    </x:row>
    <x:row r="1666">
      <x:c r="A1666" t="n">
        <x:v>866</x:v>
      </x:c>
      <x:c r="B1666" t="str">
        <x:v>2024-11</x:v>
      </x:c>
      <x:c r="C1666" t="str">
        <x:v>Self employed</x:v>
      </x:c>
      <x:c r="D1666" t="str">
        <x:v>Group A</x:v>
      </x:c>
      <x:c r="E1666" s="26" t="n">
        <x:v>11362.12</x:v>
      </x:c>
      <x:c r="F1666" t="n">
        <x:v>1</x:v>
      </x:c>
      <x:c r="G1666" s="25" t="n">
        <x:v>0.156439</x:v>
      </x:c>
      <x:c r="H1666" t="n">
        <x:f>IF(G1666&lt;$B$6,1,0)</x:f>
        <x:v>1</x:v>
      </x:c>
      <x:c r="I1666" s="26" t="n">
        <x:f>H1666*IF(F1666=0,E1666*$B$7,-E1666*$B$8)</x:f>
        <x:v>-7385.378000000001</x:v>
      </x:c>
    </x:row>
    <x:row r="1667">
      <x:c r="A1667" t="n">
        <x:v>951</x:v>
      </x:c>
      <x:c r="B1667" t="str">
        <x:v>2024-11</x:v>
      </x:c>
      <x:c r="C1667" t="str">
        <x:v>Contract</x:v>
      </x:c>
      <x:c r="D1667" t="str">
        <x:v>Group A</x:v>
      </x:c>
      <x:c r="E1667" s="26" t="n">
        <x:v>13765.96</x:v>
      </x:c>
      <x:c r="F1667" t="n">
        <x:v>1</x:v>
      </x:c>
      <x:c r="G1667" s="25" t="n">
        <x:v>0.127297</x:v>
      </x:c>
      <x:c r="H1667" t="n">
        <x:f>IF(G1667&lt;$B$6,1,0)</x:f>
        <x:v>1</x:v>
      </x:c>
      <x:c r="I1667" s="26" t="n">
        <x:f>H1667*IF(F1667=0,E1667*$B$7,-E1667*$B$8)</x:f>
        <x:v>-8947.874</x:v>
      </x:c>
    </x:row>
    <x:row r="1668">
      <x:c r="A1668" t="n">
        <x:v>990</x:v>
      </x:c>
      <x:c r="B1668" t="str">
        <x:v>2024-11</x:v>
      </x:c>
      <x:c r="C1668" t="str">
        <x:v>Self employed</x:v>
      </x:c>
      <x:c r="D1668" t="str">
        <x:v>Group A</x:v>
      </x:c>
      <x:c r="E1668" s="26" t="n">
        <x:v>4589.94</x:v>
      </x:c>
      <x:c r="F1668" t="n">
        <x:v>1</x:v>
      </x:c>
      <x:c r="G1668" s="25" t="n">
        <x:v>0.420726</x:v>
      </x:c>
      <x:c r="H1668" t="n">
        <x:f>IF(G1668&lt;$B$6,1,0)</x:f>
        <x:v>0</x:v>
      </x:c>
      <x:c r="I1668" s="26" t="n">
        <x:f>H1668*IF(F1668=0,E1668*$B$7,-E1668*$B$8)</x:f>
        <x:v>0</x:v>
      </x:c>
    </x:row>
    <x:row r="1669">
      <x:c r="A1669" t="n">
        <x:v>996</x:v>
      </x:c>
      <x:c r="B1669" t="str">
        <x:v>2024-11</x:v>
      </x:c>
      <x:c r="C1669" t="str">
        <x:v>Salaried</x:v>
      </x:c>
      <x:c r="D1669" t="str">
        <x:v>Group A</x:v>
      </x:c>
      <x:c r="E1669" s="26" t="n">
        <x:v>9756.22</x:v>
      </x:c>
      <x:c r="F1669" t="n">
        <x:v>0</x:v>
      </x:c>
      <x:c r="G1669" s="25" t="n">
        <x:v>0.026854</x:v>
      </x:c>
      <x:c r="H1669" t="n">
        <x:f>IF(G1669&lt;$B$6,1,0)</x:f>
        <x:v>1</x:v>
      </x:c>
      <x:c r="I1669" s="26" t="n">
        <x:f>H1669*IF(F1669=0,E1669*$B$7,-E1669*$B$8)</x:f>
        <x:v>1170.7463999999998</x:v>
      </x:c>
    </x:row>
    <x:row r="1670">
      <x:c r="A1670" t="n">
        <x:v>999</x:v>
      </x:c>
      <x:c r="B1670" t="str">
        <x:v>2024-11</x:v>
      </x:c>
      <x:c r="C1670" t="str">
        <x:v>Salaried</x:v>
      </x:c>
      <x:c r="D1670" t="str">
        <x:v>Group B</x:v>
      </x:c>
      <x:c r="E1670" s="26" t="n">
        <x:v>39827.44</x:v>
      </x:c>
      <x:c r="F1670" t="n">
        <x:v>1</x:v>
      </x:c>
      <x:c r="G1670" s="25" t="n">
        <x:v>0.738613</x:v>
      </x:c>
      <x:c r="H1670" t="n">
        <x:f>IF(G1670&lt;$B$6,1,0)</x:f>
        <x:v>0</x:v>
      </x:c>
      <x:c r="I1670" s="26" t="n">
        <x:f>H1670*IF(F1670=0,E1670*$B$7,-E1670*$B$8)</x:f>
        <x:v>0</x:v>
      </x:c>
    </x:row>
    <x:row r="1671">
      <x:c r="A1671" t="n">
        <x:v>1120</x:v>
      </x:c>
      <x:c r="B1671" t="str">
        <x:v>2024-11</x:v>
      </x:c>
      <x:c r="C1671" t="str">
        <x:v>Contract</x:v>
      </x:c>
      <x:c r="D1671" t="str">
        <x:v>Group A</x:v>
      </x:c>
      <x:c r="E1671" s="26" t="n">
        <x:v>11266.7</x:v>
      </x:c>
      <x:c r="F1671" t="n">
        <x:v>1</x:v>
      </x:c>
      <x:c r="G1671" s="25" t="n">
        <x:v>0.3437</x:v>
      </x:c>
      <x:c r="H1671" t="n">
        <x:f>IF(G1671&lt;$B$6,1,0)</x:f>
        <x:v>0</x:v>
      </x:c>
      <x:c r="I1671" s="26" t="n">
        <x:f>H1671*IF(F1671=0,E1671*$B$7,-E1671*$B$8)</x:f>
        <x:v>0</x:v>
      </x:c>
    </x:row>
    <x:row r="1672">
      <x:c r="A1672" t="n">
        <x:v>1133</x:v>
      </x:c>
      <x:c r="B1672" t="str">
        <x:v>2024-11</x:v>
      </x:c>
      <x:c r="C1672" t="str">
        <x:v>Salaried</x:v>
      </x:c>
      <x:c r="D1672" t="str">
        <x:v>Group A</x:v>
      </x:c>
      <x:c r="E1672" s="26" t="n">
        <x:v>41475.73</x:v>
      </x:c>
      <x:c r="F1672" t="n">
        <x:v>0</x:v>
      </x:c>
      <x:c r="G1672" s="25" t="n">
        <x:v>0.579086</x:v>
      </x:c>
      <x:c r="H1672" t="n">
        <x:f>IF(G1672&lt;$B$6,1,0)</x:f>
        <x:v>0</x:v>
      </x:c>
      <x:c r="I1672" s="26" t="n">
        <x:f>H1672*IF(F1672=0,E1672*$B$7,-E1672*$B$8)</x:f>
        <x:v>0</x:v>
      </x:c>
    </x:row>
    <x:row r="1673">
      <x:c r="A1673" t="n">
        <x:v>1143</x:v>
      </x:c>
      <x:c r="B1673" t="str">
        <x:v>2024-11</x:v>
      </x:c>
      <x:c r="C1673" t="str">
        <x:v>Salaried</x:v>
      </x:c>
      <x:c r="D1673" t="str">
        <x:v>Group A</x:v>
      </x:c>
      <x:c r="E1673" s="26" t="n">
        <x:v>7289.17</x:v>
      </x:c>
      <x:c r="F1673" t="n">
        <x:v>0</x:v>
      </x:c>
      <x:c r="G1673" s="25" t="n">
        <x:v>0.070773</x:v>
      </x:c>
      <x:c r="H1673" t="n">
        <x:f>IF(G1673&lt;$B$6,1,0)</x:f>
        <x:v>1</x:v>
      </x:c>
      <x:c r="I1673" s="26" t="n">
        <x:f>H1673*IF(F1673=0,E1673*$B$7,-E1673*$B$8)</x:f>
        <x:v>874.7004</x:v>
      </x:c>
    </x:row>
    <x:row r="1674">
      <x:c r="A1674" t="n">
        <x:v>1146</x:v>
      </x:c>
      <x:c r="B1674" t="str">
        <x:v>2024-11</x:v>
      </x:c>
      <x:c r="C1674" t="str">
        <x:v>Self employed</x:v>
      </x:c>
      <x:c r="D1674" t="str">
        <x:v>Group B</x:v>
      </x:c>
      <x:c r="E1674" s="26" t="n">
        <x:v>20262.12</x:v>
      </x:c>
      <x:c r="F1674" t="n">
        <x:v>0</x:v>
      </x:c>
      <x:c r="G1674" s="25" t="n">
        <x:v>0.089959</x:v>
      </x:c>
      <x:c r="H1674" t="n">
        <x:f>IF(G1674&lt;$B$6,1,0)</x:f>
        <x:v>1</x:v>
      </x:c>
      <x:c r="I1674" s="26" t="n">
        <x:f>H1674*IF(F1674=0,E1674*$B$7,-E1674*$B$8)</x:f>
        <x:v>2431.4543999999996</x:v>
      </x:c>
    </x:row>
    <x:row r="1675">
      <x:c r="A1675" t="n">
        <x:v>1162</x:v>
      </x:c>
      <x:c r="B1675" t="str">
        <x:v>2024-11</x:v>
      </x:c>
      <x:c r="C1675" t="str">
        <x:v>Self employed</x:v>
      </x:c>
      <x:c r="D1675" t="str">
        <x:v>Group B</x:v>
      </x:c>
      <x:c r="E1675" s="26" t="n">
        <x:v>8711.12</x:v>
      </x:c>
      <x:c r="F1675" t="n">
        <x:v>0</x:v>
      </x:c>
      <x:c r="G1675" s="25" t="n">
        <x:v>0.106732</x:v>
      </x:c>
      <x:c r="H1675" t="n">
        <x:f>IF(G1675&lt;$B$6,1,0)</x:f>
        <x:v>1</x:v>
      </x:c>
      <x:c r="I1675" s="26" t="n">
        <x:f>H1675*IF(F1675=0,E1675*$B$7,-E1675*$B$8)</x:f>
        <x:v>1045.3344</x:v>
      </x:c>
    </x:row>
    <x:row r="1676">
      <x:c r="A1676" t="n">
        <x:v>1174</x:v>
      </x:c>
      <x:c r="B1676" t="str">
        <x:v>2024-11</x:v>
      </x:c>
      <x:c r="C1676" t="str">
        <x:v>Salaried</x:v>
      </x:c>
      <x:c r="D1676" t="str">
        <x:v>Group B</x:v>
      </x:c>
      <x:c r="E1676" s="26" t="n">
        <x:v>12687.55</x:v>
      </x:c>
      <x:c r="F1676" t="n">
        <x:v>1</x:v>
      </x:c>
      <x:c r="G1676" s="25" t="n">
        <x:v>0.476057</x:v>
      </x:c>
      <x:c r="H1676" t="n">
        <x:f>IF(G1676&lt;$B$6,1,0)</x:f>
        <x:v>0</x:v>
      </x:c>
      <x:c r="I1676" s="26" t="n">
        <x:f>H1676*IF(F1676=0,E1676*$B$7,-E1676*$B$8)</x:f>
        <x:v>0</x:v>
      </x:c>
    </x:row>
    <x:row r="1677">
      <x:c r="A1677" t="n">
        <x:v>1221</x:v>
      </x:c>
      <x:c r="B1677" t="str">
        <x:v>2024-11</x:v>
      </x:c>
      <x:c r="C1677" t="str">
        <x:v>Salaried</x:v>
      </x:c>
      <x:c r="D1677" t="str">
        <x:v>Group A</x:v>
      </x:c>
      <x:c r="E1677" s="26" t="n">
        <x:v>28423.94</x:v>
      </x:c>
      <x:c r="F1677" t="n">
        <x:v>1</x:v>
      </x:c>
      <x:c r="G1677" s="25" t="n">
        <x:v>0.304755</x:v>
      </x:c>
      <x:c r="H1677" t="n">
        <x:f>IF(G1677&lt;$B$6,1,0)</x:f>
        <x:v>0</x:v>
      </x:c>
      <x:c r="I1677" s="26" t="n">
        <x:f>H1677*IF(F1677=0,E1677*$B$7,-E1677*$B$8)</x:f>
        <x:v>0</x:v>
      </x:c>
    </x:row>
    <x:row r="1678">
      <x:c r="A1678" t="n">
        <x:v>1224</x:v>
      </x:c>
      <x:c r="B1678" t="str">
        <x:v>2024-11</x:v>
      </x:c>
      <x:c r="C1678" t="str">
        <x:v>Salaried</x:v>
      </x:c>
      <x:c r="D1678" t="str">
        <x:v>Group A</x:v>
      </x:c>
      <x:c r="E1678" s="26" t="n">
        <x:v>6421.11</x:v>
      </x:c>
      <x:c r="F1678" t="n">
        <x:v>0</x:v>
      </x:c>
      <x:c r="G1678" s="25" t="n">
        <x:v>0.057429</x:v>
      </x:c>
      <x:c r="H1678" t="n">
        <x:f>IF(G1678&lt;$B$6,1,0)</x:f>
        <x:v>1</x:v>
      </x:c>
      <x:c r="I1678" s="26" t="n">
        <x:f>H1678*IF(F1678=0,E1678*$B$7,-E1678*$B$8)</x:f>
        <x:v>770.5332</x:v>
      </x:c>
    </x:row>
    <x:row r="1679">
      <x:c r="A1679" t="n">
        <x:v>1228</x:v>
      </x:c>
      <x:c r="B1679" t="str">
        <x:v>2024-11</x:v>
      </x:c>
      <x:c r="C1679" t="str">
        <x:v>Salaried</x:v>
      </x:c>
      <x:c r="D1679" t="str">
        <x:v>Group A</x:v>
      </x:c>
      <x:c r="E1679" s="26" t="n">
        <x:v>13858.75</x:v>
      </x:c>
      <x:c r="F1679" t="n">
        <x:v>0</x:v>
      </x:c>
      <x:c r="G1679" s="25" t="n">
        <x:v>0.019769</x:v>
      </x:c>
      <x:c r="H1679" t="n">
        <x:f>IF(G1679&lt;$B$6,1,0)</x:f>
        <x:v>1</x:v>
      </x:c>
      <x:c r="I1679" s="26" t="n">
        <x:f>H1679*IF(F1679=0,E1679*$B$7,-E1679*$B$8)</x:f>
        <x:v>1663.05</x:v>
      </x:c>
    </x:row>
    <x:row r="1680">
      <x:c r="A1680" t="n">
        <x:v>1237</x:v>
      </x:c>
      <x:c r="B1680" t="str">
        <x:v>2024-11</x:v>
      </x:c>
      <x:c r="C1680" t="str">
        <x:v>Salaried</x:v>
      </x:c>
      <x:c r="D1680" t="str">
        <x:v>Group B</x:v>
      </x:c>
      <x:c r="E1680" s="26" t="n">
        <x:v>6357.34</x:v>
      </x:c>
      <x:c r="F1680" t="n">
        <x:v>0</x:v>
      </x:c>
      <x:c r="G1680" s="25" t="n">
        <x:v>0.302833</x:v>
      </x:c>
      <x:c r="H1680" t="n">
        <x:f>IF(G1680&lt;$B$6,1,0)</x:f>
        <x:v>0</x:v>
      </x:c>
      <x:c r="I1680" s="26" t="n">
        <x:f>H1680*IF(F1680=0,E1680*$B$7,-E1680*$B$8)</x:f>
        <x:v>0</x:v>
      </x:c>
    </x:row>
    <x:row r="1681">
      <x:c r="A1681" t="n">
        <x:v>1266</x:v>
      </x:c>
      <x:c r="B1681" t="str">
        <x:v>2024-11</x:v>
      </x:c>
      <x:c r="C1681" t="str">
        <x:v>Self employed</x:v>
      </x:c>
      <x:c r="D1681" t="str">
        <x:v>Group B</x:v>
      </x:c>
      <x:c r="E1681" s="26" t="n">
        <x:v>16321.87</x:v>
      </x:c>
      <x:c r="F1681" t="n">
        <x:v>0</x:v>
      </x:c>
      <x:c r="G1681" s="25" t="n">
        <x:v>0.199345</x:v>
      </x:c>
      <x:c r="H1681" t="n">
        <x:f>IF(G1681&lt;$B$6,1,0)</x:f>
        <x:v>0</x:v>
      </x:c>
      <x:c r="I1681" s="26" t="n">
        <x:f>H1681*IF(F1681=0,E1681*$B$7,-E1681*$B$8)</x:f>
        <x:v>0</x:v>
      </x:c>
    </x:row>
    <x:row r="1682">
      <x:c r="A1682" t="n">
        <x:v>1274</x:v>
      </x:c>
      <x:c r="B1682" t="str">
        <x:v>2024-11</x:v>
      </x:c>
      <x:c r="C1682" t="str">
        <x:v>Salaried</x:v>
      </x:c>
      <x:c r="D1682" t="str">
        <x:v>Group A</x:v>
      </x:c>
      <x:c r="E1682" s="26" t="n">
        <x:v>12415.21</x:v>
      </x:c>
      <x:c r="F1682" t="n">
        <x:v>0</x:v>
      </x:c>
      <x:c r="G1682" s="25" t="n">
        <x:v>0.138501</x:v>
      </x:c>
      <x:c r="H1682" t="n">
        <x:f>IF(G1682&lt;$B$6,1,0)</x:f>
        <x:v>1</x:v>
      </x:c>
      <x:c r="I1682" s="26" t="n">
        <x:f>H1682*IF(F1682=0,E1682*$B$7,-E1682*$B$8)</x:f>
        <x:v>1489.8251999999998</x:v>
      </x:c>
    </x:row>
    <x:row r="1683">
      <x:c r="A1683" t="n">
        <x:v>1299</x:v>
      </x:c>
      <x:c r="B1683" t="str">
        <x:v>2024-11</x:v>
      </x:c>
      <x:c r="C1683" t="str">
        <x:v>Salaried</x:v>
      </x:c>
      <x:c r="D1683" t="str">
        <x:v>Group A</x:v>
      </x:c>
      <x:c r="E1683" s="26" t="n">
        <x:v>22650.99</x:v>
      </x:c>
      <x:c r="F1683" t="n">
        <x:v>0</x:v>
      </x:c>
      <x:c r="G1683" s="25" t="n">
        <x:v>0.274455</x:v>
      </x:c>
      <x:c r="H1683" t="n">
        <x:f>IF(G1683&lt;$B$6,1,0)</x:f>
        <x:v>0</x:v>
      </x:c>
      <x:c r="I1683" s="26" t="n">
        <x:f>H1683*IF(F1683=0,E1683*$B$7,-E1683*$B$8)</x:f>
        <x:v>0</x:v>
      </x:c>
    </x:row>
    <x:row r="1684">
      <x:c r="A1684" t="n">
        <x:v>1366</x:v>
      </x:c>
      <x:c r="B1684" t="str">
        <x:v>2024-11</x:v>
      </x:c>
      <x:c r="C1684" t="str">
        <x:v>Salaried</x:v>
      </x:c>
      <x:c r="D1684" t="str">
        <x:v>Group A</x:v>
      </x:c>
      <x:c r="E1684" s="26" t="n">
        <x:v>13424.26</x:v>
      </x:c>
      <x:c r="F1684" t="n">
        <x:v>1</x:v>
      </x:c>
      <x:c r="G1684" s="25" t="n">
        <x:v>0.093688</x:v>
      </x:c>
      <x:c r="H1684" t="n">
        <x:f>IF(G1684&lt;$B$6,1,0)</x:f>
        <x:v>1</x:v>
      </x:c>
      <x:c r="I1684" s="26" t="n">
        <x:f>H1684*IF(F1684=0,E1684*$B$7,-E1684*$B$8)</x:f>
        <x:v>-8725.769</x:v>
      </x:c>
    </x:row>
    <x:row r="1685">
      <x:c r="A1685" t="n">
        <x:v>1369</x:v>
      </x:c>
      <x:c r="B1685" t="str">
        <x:v>2024-11</x:v>
      </x:c>
      <x:c r="C1685" t="str">
        <x:v>Salaried</x:v>
      </x:c>
      <x:c r="D1685" t="str">
        <x:v>Group A</x:v>
      </x:c>
      <x:c r="E1685" s="26" t="n">
        <x:v>70267.95</x:v>
      </x:c>
      <x:c r="F1685" t="n">
        <x:v>0</x:v>
      </x:c>
      <x:c r="G1685" s="25" t="n">
        <x:v>0.435936</x:v>
      </x:c>
      <x:c r="H1685" t="n">
        <x:f>IF(G1685&lt;$B$6,1,0)</x:f>
        <x:v>0</x:v>
      </x:c>
      <x:c r="I1685" s="26" t="n">
        <x:f>H1685*IF(F1685=0,E1685*$B$7,-E1685*$B$8)</x:f>
        <x:v>0</x:v>
      </x:c>
    </x:row>
    <x:row r="1686">
      <x:c r="A1686" t="n">
        <x:v>1402</x:v>
      </x:c>
      <x:c r="B1686" t="str">
        <x:v>2024-11</x:v>
      </x:c>
      <x:c r="C1686" t="str">
        <x:v>Salaried</x:v>
      </x:c>
      <x:c r="D1686" t="str">
        <x:v>Group B</x:v>
      </x:c>
      <x:c r="E1686" s="26" t="n">
        <x:v>34653.47</x:v>
      </x:c>
      <x:c r="F1686" t="n">
        <x:v>0</x:v>
      </x:c>
      <x:c r="G1686" s="25" t="n">
        <x:v>0.126549</x:v>
      </x:c>
      <x:c r="H1686" t="n">
        <x:f>IF(G1686&lt;$B$6,1,0)</x:f>
        <x:v>1</x:v>
      </x:c>
      <x:c r="I1686" s="26" t="n">
        <x:f>H1686*IF(F1686=0,E1686*$B$7,-E1686*$B$8)</x:f>
        <x:v>4158.4164</x:v>
      </x:c>
    </x:row>
    <x:row r="1687">
      <x:c r="A1687" t="n">
        <x:v>1408</x:v>
      </x:c>
      <x:c r="B1687" t="str">
        <x:v>2024-11</x:v>
      </x:c>
      <x:c r="C1687" t="str">
        <x:v>Salaried</x:v>
      </x:c>
      <x:c r="D1687" t="str">
        <x:v>Group B</x:v>
      </x:c>
      <x:c r="E1687" s="26" t="n">
        <x:v>30253.78</x:v>
      </x:c>
      <x:c r="F1687" t="n">
        <x:v>0</x:v>
      </x:c>
      <x:c r="G1687" s="25" t="n">
        <x:v>0.209629</x:v>
      </x:c>
      <x:c r="H1687" t="n">
        <x:f>IF(G1687&lt;$B$6,1,0)</x:f>
        <x:v>0</x:v>
      </x:c>
      <x:c r="I1687" s="26" t="n">
        <x:f>H1687*IF(F1687=0,E1687*$B$7,-E1687*$B$8)</x:f>
        <x:v>0</x:v>
      </x:c>
    </x:row>
    <x:row r="1688">
      <x:c r="A1688" t="n">
        <x:v>1442</x:v>
      </x:c>
      <x:c r="B1688" t="str">
        <x:v>2024-11</x:v>
      </x:c>
      <x:c r="C1688" t="str">
        <x:v>Salaried</x:v>
      </x:c>
      <x:c r="D1688" t="str">
        <x:v>Group A</x:v>
      </x:c>
      <x:c r="E1688" s="26" t="n">
        <x:v>28905.66</x:v>
      </x:c>
      <x:c r="F1688" t="n">
        <x:v>0</x:v>
      </x:c>
      <x:c r="G1688" s="25" t="n">
        <x:v>0.156841</x:v>
      </x:c>
      <x:c r="H1688" t="n">
        <x:f>IF(G1688&lt;$B$6,1,0)</x:f>
        <x:v>1</x:v>
      </x:c>
      <x:c r="I1688" s="26" t="n">
        <x:f>H1688*IF(F1688=0,E1688*$B$7,-E1688*$B$8)</x:f>
        <x:v>3468.6792</x:v>
      </x:c>
    </x:row>
    <x:row r="1689">
      <x:c r="A1689" t="n">
        <x:v>1466</x:v>
      </x:c>
      <x:c r="B1689" t="str">
        <x:v>2024-11</x:v>
      </x:c>
      <x:c r="C1689" t="str">
        <x:v>Salaried</x:v>
      </x:c>
      <x:c r="D1689" t="str">
        <x:v>Group A</x:v>
      </x:c>
      <x:c r="E1689" s="26" t="n">
        <x:v>8381.17</x:v>
      </x:c>
      <x:c r="F1689" t="n">
        <x:v>0</x:v>
      </x:c>
      <x:c r="G1689" s="25" t="n">
        <x:v>0.015622</x:v>
      </x:c>
      <x:c r="H1689" t="n">
        <x:f>IF(G1689&lt;$B$6,1,0)</x:f>
        <x:v>1</x:v>
      </x:c>
      <x:c r="I1689" s="26" t="n">
        <x:f>H1689*IF(F1689=0,E1689*$B$7,-E1689*$B$8)</x:f>
        <x:v>1005.7404</x:v>
      </x:c>
    </x:row>
    <x:row r="1690">
      <x:c r="A1690" t="n">
        <x:v>1470</x:v>
      </x:c>
      <x:c r="B1690" t="str">
        <x:v>2024-11</x:v>
      </x:c>
      <x:c r="C1690" t="str">
        <x:v>Salaried</x:v>
      </x:c>
      <x:c r="D1690" t="str">
        <x:v>Group A</x:v>
      </x:c>
      <x:c r="E1690" s="26" t="n">
        <x:v>6768.18</x:v>
      </x:c>
      <x:c r="F1690" t="n">
        <x:v>1</x:v>
      </x:c>
      <x:c r="G1690" s="25" t="n">
        <x:v>0.248601</x:v>
      </x:c>
      <x:c r="H1690" t="n">
        <x:f>IF(G1690&lt;$B$6,1,0)</x:f>
        <x:v>0</x:v>
      </x:c>
      <x:c r="I1690" s="26" t="n">
        <x:f>H1690*IF(F1690=0,E1690*$B$7,-E1690*$B$8)</x:f>
        <x:v>0</x:v>
      </x:c>
    </x:row>
    <x:row r="1691">
      <x:c r="A1691" t="n">
        <x:v>1480</x:v>
      </x:c>
      <x:c r="B1691" t="str">
        <x:v>2024-11</x:v>
      </x:c>
      <x:c r="C1691" t="str">
        <x:v>Salaried</x:v>
      </x:c>
      <x:c r="D1691" t="str">
        <x:v>Group B</x:v>
      </x:c>
      <x:c r="E1691" s="26" t="n">
        <x:v>15657.94</x:v>
      </x:c>
      <x:c r="F1691" t="n">
        <x:v>1</x:v>
      </x:c>
      <x:c r="G1691" s="25" t="n">
        <x:v>0.156696</x:v>
      </x:c>
      <x:c r="H1691" t="n">
        <x:f>IF(G1691&lt;$B$6,1,0)</x:f>
        <x:v>1</x:v>
      </x:c>
      <x:c r="I1691" s="26" t="n">
        <x:f>H1691*IF(F1691=0,E1691*$B$7,-E1691*$B$8)</x:f>
        <x:v>-10177.661</x:v>
      </x:c>
    </x:row>
    <x:row r="1692">
      <x:c r="A1692" t="n">
        <x:v>1501</x:v>
      </x:c>
      <x:c r="B1692" t="str">
        <x:v>2024-11</x:v>
      </x:c>
      <x:c r="C1692" t="str">
        <x:v>Salaried</x:v>
      </x:c>
      <x:c r="D1692" t="str">
        <x:v>Group A</x:v>
      </x:c>
      <x:c r="E1692" s="26" t="n">
        <x:v>13986.48</x:v>
      </x:c>
      <x:c r="F1692" t="n">
        <x:v>0</x:v>
      </x:c>
      <x:c r="G1692" s="25" t="n">
        <x:v>0.144569</x:v>
      </x:c>
      <x:c r="H1692" t="n">
        <x:f>IF(G1692&lt;$B$6,1,0)</x:f>
        <x:v>1</x:v>
      </x:c>
      <x:c r="I1692" s="26" t="n">
        <x:f>H1692*IF(F1692=0,E1692*$B$7,-E1692*$B$8)</x:f>
        <x:v>1678.3775999999998</x:v>
      </x:c>
    </x:row>
    <x:row r="1693">
      <x:c r="A1693" t="n">
        <x:v>1527</x:v>
      </x:c>
      <x:c r="B1693" t="str">
        <x:v>2024-11</x:v>
      </x:c>
      <x:c r="C1693" t="str">
        <x:v>Salaried</x:v>
      </x:c>
      <x:c r="D1693" t="str">
        <x:v>Group B</x:v>
      </x:c>
      <x:c r="E1693" s="26" t="n">
        <x:v>13450.53</x:v>
      </x:c>
      <x:c r="F1693" t="n">
        <x:v>0</x:v>
      </x:c>
      <x:c r="G1693" s="25" t="n">
        <x:v>0.036802</x:v>
      </x:c>
      <x:c r="H1693" t="n">
        <x:f>IF(G1693&lt;$B$6,1,0)</x:f>
        <x:v>1</x:v>
      </x:c>
      <x:c r="I1693" s="26" t="n">
        <x:f>H1693*IF(F1693=0,E1693*$B$7,-E1693*$B$8)</x:f>
        <x:v>1614.0636</x:v>
      </x:c>
    </x:row>
    <x:row r="1694">
      <x:c r="A1694" t="n">
        <x:v>1584</x:v>
      </x:c>
      <x:c r="B1694" t="str">
        <x:v>2024-11</x:v>
      </x:c>
      <x:c r="C1694" t="str">
        <x:v>Salaried</x:v>
      </x:c>
      <x:c r="D1694" t="str">
        <x:v>Group A</x:v>
      </x:c>
      <x:c r="E1694" s="26" t="n">
        <x:v>4442.67</x:v>
      </x:c>
      <x:c r="F1694" t="n">
        <x:v>1</x:v>
      </x:c>
      <x:c r="G1694" s="25" t="n">
        <x:v>0.10907</x:v>
      </x:c>
      <x:c r="H1694" t="n">
        <x:f>IF(G1694&lt;$B$6,1,0)</x:f>
        <x:v>1</x:v>
      </x:c>
      <x:c r="I1694" s="26" t="n">
        <x:f>H1694*IF(F1694=0,E1694*$B$7,-E1694*$B$8)</x:f>
        <x:v>-2887.7355000000002</x:v>
      </x:c>
    </x:row>
    <x:row r="1695">
      <x:c r="A1695" t="n">
        <x:v>1626</x:v>
      </x:c>
      <x:c r="B1695" t="str">
        <x:v>2024-11</x:v>
      </x:c>
      <x:c r="C1695" t="str">
        <x:v>Salaried</x:v>
      </x:c>
      <x:c r="D1695" t="str">
        <x:v>Group A</x:v>
      </x:c>
      <x:c r="E1695" s="26" t="n">
        <x:v>10924.95</x:v>
      </x:c>
      <x:c r="F1695" t="n">
        <x:v>0</x:v>
      </x:c>
      <x:c r="G1695" s="25" t="n">
        <x:v>0.230405</x:v>
      </x:c>
      <x:c r="H1695" t="n">
        <x:f>IF(G1695&lt;$B$6,1,0)</x:f>
        <x:v>0</x:v>
      </x:c>
      <x:c r="I1695" s="26" t="n">
        <x:f>H1695*IF(F1695=0,E1695*$B$7,-E1695*$B$8)</x:f>
        <x:v>0</x:v>
      </x:c>
    </x:row>
    <x:row r="1696">
      <x:c r="A1696" t="n">
        <x:v>1641</x:v>
      </x:c>
      <x:c r="B1696" t="str">
        <x:v>2024-11</x:v>
      </x:c>
      <x:c r="C1696" t="str">
        <x:v>Contract</x:v>
      </x:c>
      <x:c r="D1696" t="str">
        <x:v>Group A</x:v>
      </x:c>
      <x:c r="E1696" s="26" t="n">
        <x:v>10566.02</x:v>
      </x:c>
      <x:c r="F1696" t="n">
        <x:v>1</x:v>
      </x:c>
      <x:c r="G1696" s="25" t="n">
        <x:v>0.294135</x:v>
      </x:c>
      <x:c r="H1696" t="n">
        <x:f>IF(G1696&lt;$B$6,1,0)</x:f>
        <x:v>0</x:v>
      </x:c>
      <x:c r="I1696" s="26" t="n">
        <x:f>H1696*IF(F1696=0,E1696*$B$7,-E1696*$B$8)</x:f>
        <x:v>0</x:v>
      </x:c>
    </x:row>
    <x:row r="1697">
      <x:c r="A1697" t="n">
        <x:v>1657</x:v>
      </x:c>
      <x:c r="B1697" t="str">
        <x:v>2024-11</x:v>
      </x:c>
      <x:c r="C1697" t="str">
        <x:v>Self employed</x:v>
      </x:c>
      <x:c r="D1697" t="str">
        <x:v>Group B</x:v>
      </x:c>
      <x:c r="E1697" s="26" t="n">
        <x:v>20713.48</x:v>
      </x:c>
      <x:c r="F1697" t="n">
        <x:v>1</x:v>
      </x:c>
      <x:c r="G1697" s="25" t="n">
        <x:v>0.530522</x:v>
      </x:c>
      <x:c r="H1697" t="n">
        <x:f>IF(G1697&lt;$B$6,1,0)</x:f>
        <x:v>0</x:v>
      </x:c>
      <x:c r="I1697" s="26" t="n">
        <x:f>H1697*IF(F1697=0,E1697*$B$7,-E1697*$B$8)</x:f>
        <x:v>0</x:v>
      </x:c>
    </x:row>
    <x:row r="1698">
      <x:c r="A1698" t="n">
        <x:v>1665</x:v>
      </x:c>
      <x:c r="B1698" t="str">
        <x:v>2024-11</x:v>
      </x:c>
      <x:c r="C1698" t="str">
        <x:v>Salaried</x:v>
      </x:c>
      <x:c r="D1698" t="str">
        <x:v>Group B</x:v>
      </x:c>
      <x:c r="E1698" s="26" t="n">
        <x:v>15767.61</x:v>
      </x:c>
      <x:c r="F1698" t="n">
        <x:v>0</x:v>
      </x:c>
      <x:c r="G1698" s="25" t="n">
        <x:v>0.286203</x:v>
      </x:c>
      <x:c r="H1698" t="n">
        <x:f>IF(G1698&lt;$B$6,1,0)</x:f>
        <x:v>0</x:v>
      </x:c>
      <x:c r="I1698" s="26" t="n">
        <x:f>H1698*IF(F1698=0,E1698*$B$7,-E1698*$B$8)</x:f>
        <x:v>0</x:v>
      </x:c>
    </x:row>
    <x:row r="1699">
      <x:c r="A1699" t="n">
        <x:v>1701</x:v>
      </x:c>
      <x:c r="B1699" t="str">
        <x:v>2024-11</x:v>
      </x:c>
      <x:c r="C1699" t="str">
        <x:v>Salaried</x:v>
      </x:c>
      <x:c r="D1699" t="str">
        <x:v>Group B</x:v>
      </x:c>
      <x:c r="E1699" s="26" t="n">
        <x:v>15875.44</x:v>
      </x:c>
      <x:c r="F1699" t="n">
        <x:v>1</x:v>
      </x:c>
      <x:c r="G1699" s="25" t="n">
        <x:v>0.093334</x:v>
      </x:c>
      <x:c r="H1699" t="n">
        <x:f>IF(G1699&lt;$B$6,1,0)</x:f>
        <x:v>1</x:v>
      </x:c>
      <x:c r="I1699" s="26" t="n">
        <x:f>H1699*IF(F1699=0,E1699*$B$7,-E1699*$B$8)</x:f>
        <x:v>-10319.036</x:v>
      </x:c>
    </x:row>
    <x:row r="1700">
      <x:c r="A1700" t="n">
        <x:v>1715</x:v>
      </x:c>
      <x:c r="B1700" t="str">
        <x:v>2024-11</x:v>
      </x:c>
      <x:c r="C1700" t="str">
        <x:v>Salaried</x:v>
      </x:c>
      <x:c r="D1700" t="str">
        <x:v>Group B</x:v>
      </x:c>
      <x:c r="E1700" s="26" t="n">
        <x:v>16129.08</x:v>
      </x:c>
      <x:c r="F1700" t="n">
        <x:v>0</x:v>
      </x:c>
      <x:c r="G1700" s="25" t="n">
        <x:v>0.336525</x:v>
      </x:c>
      <x:c r="H1700" t="n">
        <x:f>IF(G1700&lt;$B$6,1,0)</x:f>
        <x:v>0</x:v>
      </x:c>
      <x:c r="I1700" s="26" t="n">
        <x:f>H1700*IF(F1700=0,E1700*$B$7,-E1700*$B$8)</x:f>
        <x:v>0</x:v>
      </x:c>
    </x:row>
    <x:row r="1701">
      <x:c r="A1701" t="n">
        <x:v>1746</x:v>
      </x:c>
      <x:c r="B1701" t="str">
        <x:v>2024-11</x:v>
      </x:c>
      <x:c r="C1701" t="str">
        <x:v>Salaried</x:v>
      </x:c>
      <x:c r="D1701" t="str">
        <x:v>Group A</x:v>
      </x:c>
      <x:c r="E1701" s="26" t="n">
        <x:v>32612.54</x:v>
      </x:c>
      <x:c r="F1701" t="n">
        <x:v>1</x:v>
      </x:c>
      <x:c r="G1701" s="25" t="n">
        <x:v>0.307778</x:v>
      </x:c>
      <x:c r="H1701" t="n">
        <x:f>IF(G1701&lt;$B$6,1,0)</x:f>
        <x:v>0</x:v>
      </x:c>
      <x:c r="I1701" s="26" t="n">
        <x:f>H1701*IF(F1701=0,E1701*$B$7,-E1701*$B$8)</x:f>
        <x:v>0</x:v>
      </x:c>
    </x:row>
    <x:row r="1702">
      <x:c r="A1702" t="n">
        <x:v>1784</x:v>
      </x:c>
      <x:c r="B1702" t="str">
        <x:v>2024-11</x:v>
      </x:c>
      <x:c r="C1702" t="str">
        <x:v>Salaried</x:v>
      </x:c>
      <x:c r="D1702" t="str">
        <x:v>Group A</x:v>
      </x:c>
      <x:c r="E1702" s="26" t="n">
        <x:v>12855.59</x:v>
      </x:c>
      <x:c r="F1702" t="n">
        <x:v>0</x:v>
      </x:c>
      <x:c r="G1702" s="25" t="n">
        <x:v>0.386775</x:v>
      </x:c>
      <x:c r="H1702" t="n">
        <x:f>IF(G1702&lt;$B$6,1,0)</x:f>
        <x:v>0</x:v>
      </x:c>
      <x:c r="I1702" s="26" t="n">
        <x:f>H1702*IF(F1702=0,E1702*$B$7,-E1702*$B$8)</x:f>
        <x:v>0</x:v>
      </x:c>
    </x:row>
    <x:row r="1703">
      <x:c r="A1703" t="n">
        <x:v>1817</x:v>
      </x:c>
      <x:c r="B1703" t="str">
        <x:v>2024-11</x:v>
      </x:c>
      <x:c r="C1703" t="str">
        <x:v>Salaried</x:v>
      </x:c>
      <x:c r="D1703" t="str">
        <x:v>Group A</x:v>
      </x:c>
      <x:c r="E1703" s="26" t="n">
        <x:v>18163.2</x:v>
      </x:c>
      <x:c r="F1703" t="n">
        <x:v>0</x:v>
      </x:c>
      <x:c r="G1703" s="25" t="n">
        <x:v>0.051111</x:v>
      </x:c>
      <x:c r="H1703" t="n">
        <x:f>IF(G1703&lt;$B$6,1,0)</x:f>
        <x:v>1</x:v>
      </x:c>
      <x:c r="I1703" s="26" t="n">
        <x:f>H1703*IF(F1703=0,E1703*$B$7,-E1703*$B$8)</x:f>
        <x:v>2179.584</x:v>
      </x:c>
    </x:row>
    <x:row r="1704">
      <x:c r="A1704" t="n">
        <x:v>1915</x:v>
      </x:c>
      <x:c r="B1704" t="str">
        <x:v>2024-11</x:v>
      </x:c>
      <x:c r="C1704" t="str">
        <x:v>Salaried</x:v>
      </x:c>
      <x:c r="D1704" t="str">
        <x:v>Group B</x:v>
      </x:c>
      <x:c r="E1704" s="26" t="n">
        <x:v>41783.9</x:v>
      </x:c>
      <x:c r="F1704" t="n">
        <x:v>0</x:v>
      </x:c>
      <x:c r="G1704" s="25" t="n">
        <x:v>0.134771</x:v>
      </x:c>
      <x:c r="H1704" t="n">
        <x:f>IF(G1704&lt;$B$6,1,0)</x:f>
        <x:v>1</x:v>
      </x:c>
      <x:c r="I1704" s="26" t="n">
        <x:f>H1704*IF(F1704=0,E1704*$B$7,-E1704*$B$8)</x:f>
        <x:v>5014.068</x:v>
      </x:c>
    </x:row>
    <x:row r="1705">
      <x:c r="A1705" t="n">
        <x:v>2004</x:v>
      </x:c>
      <x:c r="B1705" t="str">
        <x:v>2024-11</x:v>
      </x:c>
      <x:c r="C1705" t="str">
        <x:v>Salaried</x:v>
      </x:c>
      <x:c r="D1705" t="str">
        <x:v>Group A</x:v>
      </x:c>
      <x:c r="E1705" s="26" t="n">
        <x:v>4420.35</x:v>
      </x:c>
      <x:c r="F1705" t="n">
        <x:v>0</x:v>
      </x:c>
      <x:c r="G1705" s="25" t="n">
        <x:v>0.085899</x:v>
      </x:c>
      <x:c r="H1705" t="n">
        <x:f>IF(G1705&lt;$B$6,1,0)</x:f>
        <x:v>1</x:v>
      </x:c>
      <x:c r="I1705" s="26" t="n">
        <x:f>H1705*IF(F1705=0,E1705*$B$7,-E1705*$B$8)</x:f>
        <x:v>530.442</x:v>
      </x:c>
    </x:row>
    <x:row r="1706">
      <x:c r="A1706" t="n">
        <x:v>2034</x:v>
      </x:c>
      <x:c r="B1706" t="str">
        <x:v>2024-11</x:v>
      </x:c>
      <x:c r="C1706" t="str">
        <x:v>Salaried</x:v>
      </x:c>
      <x:c r="D1706" t="str">
        <x:v>Group A</x:v>
      </x:c>
      <x:c r="E1706" s="26" t="n">
        <x:v>16085.15</x:v>
      </x:c>
      <x:c r="F1706" t="n">
        <x:v>1</x:v>
      </x:c>
      <x:c r="G1706" s="25" t="n">
        <x:v>0.197808</x:v>
      </x:c>
      <x:c r="H1706" t="n">
        <x:f>IF(G1706&lt;$B$6,1,0)</x:f>
        <x:v>0</x:v>
      </x:c>
      <x:c r="I1706" s="26" t="n">
        <x:f>H1706*IF(F1706=0,E1706*$B$7,-E1706*$B$8)</x:f>
        <x:v>0</x:v>
      </x:c>
    </x:row>
    <x:row r="1707">
      <x:c r="A1707" t="n">
        <x:v>2069</x:v>
      </x:c>
      <x:c r="B1707" t="str">
        <x:v>2024-11</x:v>
      </x:c>
      <x:c r="C1707" t="str">
        <x:v>Self employed</x:v>
      </x:c>
      <x:c r="D1707" t="str">
        <x:v>Group A</x:v>
      </x:c>
      <x:c r="E1707" s="26" t="n">
        <x:v>20327.66</x:v>
      </x:c>
      <x:c r="F1707" t="n">
        <x:v>0</x:v>
      </x:c>
      <x:c r="G1707" s="25" t="n">
        <x:v>0.217317</x:v>
      </x:c>
      <x:c r="H1707" t="n">
        <x:f>IF(G1707&lt;$B$6,1,0)</x:f>
        <x:v>0</x:v>
      </x:c>
      <x:c r="I1707" s="26" t="n">
        <x:f>H1707*IF(F1707=0,E1707*$B$7,-E1707*$B$8)</x:f>
        <x:v>0</x:v>
      </x:c>
    </x:row>
    <x:row r="1708">
      <x:c r="A1708" t="n">
        <x:v>2084</x:v>
      </x:c>
      <x:c r="B1708" t="str">
        <x:v>2024-11</x:v>
      </x:c>
      <x:c r="C1708" t="str">
        <x:v>Salaried</x:v>
      </x:c>
      <x:c r="D1708" t="str">
        <x:v>Group A</x:v>
      </x:c>
      <x:c r="E1708" s="26" t="n">
        <x:v>1592.33</x:v>
      </x:c>
      <x:c r="F1708" t="n">
        <x:v>0</x:v>
      </x:c>
      <x:c r="G1708" s="25" t="n">
        <x:v>0.08101</x:v>
      </x:c>
      <x:c r="H1708" t="n">
        <x:f>IF(G1708&lt;$B$6,1,0)</x:f>
        <x:v>1</x:v>
      </x:c>
      <x:c r="I1708" s="26" t="n">
        <x:f>H1708*IF(F1708=0,E1708*$B$7,-E1708*$B$8)</x:f>
        <x:v>191.07959999999997</x:v>
      </x:c>
    </x:row>
    <x:row r="1709">
      <x:c r="A1709" t="n">
        <x:v>2099</x:v>
      </x:c>
      <x:c r="B1709" t="str">
        <x:v>2024-11</x:v>
      </x:c>
      <x:c r="C1709" t="str">
        <x:v>Salaried</x:v>
      </x:c>
      <x:c r="D1709" t="str">
        <x:v>Group B</x:v>
      </x:c>
      <x:c r="E1709" s="26" t="n">
        <x:v>19619.41</x:v>
      </x:c>
      <x:c r="F1709" t="n">
        <x:v>0</x:v>
      </x:c>
      <x:c r="G1709" s="25" t="n">
        <x:v>0.03982</x:v>
      </x:c>
      <x:c r="H1709" t="n">
        <x:f>IF(G1709&lt;$B$6,1,0)</x:f>
        <x:v>1</x:v>
      </x:c>
      <x:c r="I1709" s="26" t="n">
        <x:f>H1709*IF(F1709=0,E1709*$B$7,-E1709*$B$8)</x:f>
        <x:v>2354.3291999999997</x:v>
      </x:c>
    </x:row>
    <x:row r="1710">
      <x:c r="A1710" t="n">
        <x:v>2116</x:v>
      </x:c>
      <x:c r="B1710" t="str">
        <x:v>2024-11</x:v>
      </x:c>
      <x:c r="C1710" t="str">
        <x:v>Salaried</x:v>
      </x:c>
      <x:c r="D1710" t="str">
        <x:v>Group B</x:v>
      </x:c>
      <x:c r="E1710" s="26" t="n">
        <x:v>19885.5</x:v>
      </x:c>
      <x:c r="F1710" t="n">
        <x:v>1</x:v>
      </x:c>
      <x:c r="G1710" s="25" t="n">
        <x:v>0.159239</x:v>
      </x:c>
      <x:c r="H1710" t="n">
        <x:f>IF(G1710&lt;$B$6,1,0)</x:f>
        <x:v>1</x:v>
      </x:c>
      <x:c r="I1710" s="26" t="n">
        <x:f>H1710*IF(F1710=0,E1710*$B$7,-E1710*$B$8)</x:f>
        <x:v>-12925.575</x:v>
      </x:c>
    </x:row>
    <x:row r="1711">
      <x:c r="A1711" t="n">
        <x:v>2128</x:v>
      </x:c>
      <x:c r="B1711" t="str">
        <x:v>2024-11</x:v>
      </x:c>
      <x:c r="C1711" t="str">
        <x:v>Salaried</x:v>
      </x:c>
      <x:c r="D1711" t="str">
        <x:v>Group A</x:v>
      </x:c>
      <x:c r="E1711" s="26" t="n">
        <x:v>28907.4</x:v>
      </x:c>
      <x:c r="F1711" t="n">
        <x:v>1</x:v>
      </x:c>
      <x:c r="G1711" s="25" t="n">
        <x:v>0.24717</x:v>
      </x:c>
      <x:c r="H1711" t="n">
        <x:f>IF(G1711&lt;$B$6,1,0)</x:f>
        <x:v>0</x:v>
      </x:c>
      <x:c r="I1711" s="26" t="n">
        <x:f>H1711*IF(F1711=0,E1711*$B$7,-E1711*$B$8)</x:f>
        <x:v>0</x:v>
      </x:c>
    </x:row>
    <x:row r="1712">
      <x:c r="A1712" t="n">
        <x:v>2149</x:v>
      </x:c>
      <x:c r="B1712" t="str">
        <x:v>2024-11</x:v>
      </x:c>
      <x:c r="C1712" t="str">
        <x:v>Contract</x:v>
      </x:c>
      <x:c r="D1712" t="str">
        <x:v>Group A</x:v>
      </x:c>
      <x:c r="E1712" s="26" t="n">
        <x:v>12880.3</x:v>
      </x:c>
      <x:c r="F1712" t="n">
        <x:v>1</x:v>
      </x:c>
      <x:c r="G1712" s="25" t="n">
        <x:v>0.513863</x:v>
      </x:c>
      <x:c r="H1712" t="n">
        <x:f>IF(G1712&lt;$B$6,1,0)</x:f>
        <x:v>0</x:v>
      </x:c>
      <x:c r="I1712" s="26" t="n">
        <x:f>H1712*IF(F1712=0,E1712*$B$7,-E1712*$B$8)</x:f>
        <x:v>0</x:v>
      </x:c>
    </x:row>
    <x:row r="1713">
      <x:c r="A1713" t="n">
        <x:v>2176</x:v>
      </x:c>
      <x:c r="B1713" t="str">
        <x:v>2024-11</x:v>
      </x:c>
      <x:c r="C1713" t="str">
        <x:v>Contract</x:v>
      </x:c>
      <x:c r="D1713" t="str">
        <x:v>Group A</x:v>
      </x:c>
      <x:c r="E1713" s="26" t="n">
        <x:v>3582.69</x:v>
      </x:c>
      <x:c r="F1713" t="n">
        <x:v>0</x:v>
      </x:c>
      <x:c r="G1713" s="25" t="n">
        <x:v>0.304152</x:v>
      </x:c>
      <x:c r="H1713" t="n">
        <x:f>IF(G1713&lt;$B$6,1,0)</x:f>
        <x:v>0</x:v>
      </x:c>
      <x:c r="I1713" s="26" t="n">
        <x:f>H1713*IF(F1713=0,E1713*$B$7,-E1713*$B$8)</x:f>
        <x:v>0</x:v>
      </x:c>
    </x:row>
    <x:row r="1714">
      <x:c r="A1714" t="n">
        <x:v>2178</x:v>
      </x:c>
      <x:c r="B1714" t="str">
        <x:v>2024-11</x:v>
      </x:c>
      <x:c r="C1714" t="str">
        <x:v>Salaried</x:v>
      </x:c>
      <x:c r="D1714" t="str">
        <x:v>Group A</x:v>
      </x:c>
      <x:c r="E1714" s="26" t="n">
        <x:v>11237.05</x:v>
      </x:c>
      <x:c r="F1714" t="n">
        <x:v>0</x:v>
      </x:c>
      <x:c r="G1714" s="25" t="n">
        <x:v>0.274657</x:v>
      </x:c>
      <x:c r="H1714" t="n">
        <x:f>IF(G1714&lt;$B$6,1,0)</x:f>
        <x:v>0</x:v>
      </x:c>
      <x:c r="I1714" s="26" t="n">
        <x:f>H1714*IF(F1714=0,E1714*$B$7,-E1714*$B$8)</x:f>
        <x:v>0</x:v>
      </x:c>
    </x:row>
    <x:row r="1715">
      <x:c r="A1715" t="n">
        <x:v>2207</x:v>
      </x:c>
      <x:c r="B1715" t="str">
        <x:v>2024-11</x:v>
      </x:c>
      <x:c r="C1715" t="str">
        <x:v>Self employed</x:v>
      </x:c>
      <x:c r="D1715" t="str">
        <x:v>Group B</x:v>
      </x:c>
      <x:c r="E1715" s="26" t="n">
        <x:v>43050.06</x:v>
      </x:c>
      <x:c r="F1715" t="n">
        <x:v>0</x:v>
      </x:c>
      <x:c r="G1715" s="25" t="n">
        <x:v>0.396679</x:v>
      </x:c>
      <x:c r="H1715" t="n">
        <x:f>IF(G1715&lt;$B$6,1,0)</x:f>
        <x:v>0</x:v>
      </x:c>
      <x:c r="I1715" s="26" t="n">
        <x:f>H1715*IF(F1715=0,E1715*$B$7,-E1715*$B$8)</x:f>
        <x:v>0</x:v>
      </x:c>
    </x:row>
    <x:row r="1716">
      <x:c r="A1716" t="n">
        <x:v>2221</x:v>
      </x:c>
      <x:c r="B1716" t="str">
        <x:v>2024-11</x:v>
      </x:c>
      <x:c r="C1716" t="str">
        <x:v>Salaried</x:v>
      </x:c>
      <x:c r="D1716" t="str">
        <x:v>Group A</x:v>
      </x:c>
      <x:c r="E1716" s="26" t="n">
        <x:v>35132.2</x:v>
      </x:c>
      <x:c r="F1716" t="n">
        <x:v>1</x:v>
      </x:c>
      <x:c r="G1716" s="25" t="n">
        <x:v>0.43289</x:v>
      </x:c>
      <x:c r="H1716" t="n">
        <x:f>IF(G1716&lt;$B$6,1,0)</x:f>
        <x:v>0</x:v>
      </x:c>
      <x:c r="I1716" s="26" t="n">
        <x:f>H1716*IF(F1716=0,E1716*$B$7,-E1716*$B$8)</x:f>
        <x:v>0</x:v>
      </x:c>
    </x:row>
    <x:row r="1717">
      <x:c r="A1717" t="n">
        <x:v>2257</x:v>
      </x:c>
      <x:c r="B1717" t="str">
        <x:v>2024-11</x:v>
      </x:c>
      <x:c r="C1717" t="str">
        <x:v>Salaried</x:v>
      </x:c>
      <x:c r="D1717" t="str">
        <x:v>Group A</x:v>
      </x:c>
      <x:c r="E1717" s="26" t="n">
        <x:v>6752.22</x:v>
      </x:c>
      <x:c r="F1717" t="n">
        <x:v>0</x:v>
      </x:c>
      <x:c r="G1717" s="25" t="n">
        <x:v>0.135615</x:v>
      </x:c>
      <x:c r="H1717" t="n">
        <x:f>IF(G1717&lt;$B$6,1,0)</x:f>
        <x:v>1</x:v>
      </x:c>
      <x:c r="I1717" s="26" t="n">
        <x:f>H1717*IF(F1717=0,E1717*$B$7,-E1717*$B$8)</x:f>
        <x:v>810.2664</x:v>
      </x:c>
    </x:row>
    <x:row r="1718">
      <x:c r="A1718" t="n">
        <x:v>2275</x:v>
      </x:c>
      <x:c r="B1718" t="str">
        <x:v>2024-11</x:v>
      </x:c>
      <x:c r="C1718" t="str">
        <x:v>Salaried</x:v>
      </x:c>
      <x:c r="D1718" t="str">
        <x:v>Group B</x:v>
      </x:c>
      <x:c r="E1718" s="26" t="n">
        <x:v>8514.72</x:v>
      </x:c>
      <x:c r="F1718" t="n">
        <x:v>0</x:v>
      </x:c>
      <x:c r="G1718" s="25" t="n">
        <x:v>0.190042</x:v>
      </x:c>
      <x:c r="H1718" t="n">
        <x:f>IF(G1718&lt;$B$6,1,0)</x:f>
        <x:v>0</x:v>
      </x:c>
      <x:c r="I1718" s="26" t="n">
        <x:f>H1718*IF(F1718=0,E1718*$B$7,-E1718*$B$8)</x:f>
        <x:v>0</x:v>
      </x:c>
    </x:row>
    <x:row r="1719">
      <x:c r="A1719" t="n">
        <x:v>2285</x:v>
      </x:c>
      <x:c r="B1719" t="str">
        <x:v>2024-11</x:v>
      </x:c>
      <x:c r="C1719" t="str">
        <x:v>Self employed</x:v>
      </x:c>
      <x:c r="D1719" t="str">
        <x:v>Group B</x:v>
      </x:c>
      <x:c r="E1719" s="26" t="n">
        <x:v>7912.65</x:v>
      </x:c>
      <x:c r="F1719" t="n">
        <x:v>1</x:v>
      </x:c>
      <x:c r="G1719" s="25" t="n">
        <x:v>0.638883</x:v>
      </x:c>
      <x:c r="H1719" t="n">
        <x:f>IF(G1719&lt;$B$6,1,0)</x:f>
        <x:v>0</x:v>
      </x:c>
      <x:c r="I1719" s="26" t="n">
        <x:f>H1719*IF(F1719=0,E1719*$B$7,-E1719*$B$8)</x:f>
        <x:v>0</x:v>
      </x:c>
    </x:row>
    <x:row r="1720">
      <x:c r="A1720" t="n">
        <x:v>2295</x:v>
      </x:c>
      <x:c r="B1720" t="str">
        <x:v>2024-11</x:v>
      </x:c>
      <x:c r="C1720" t="str">
        <x:v>Contract</x:v>
      </x:c>
      <x:c r="D1720" t="str">
        <x:v>Group B</x:v>
      </x:c>
      <x:c r="E1720" s="26" t="n">
        <x:v>23386.16</x:v>
      </x:c>
      <x:c r="F1720" t="n">
        <x:v>1</x:v>
      </x:c>
      <x:c r="G1720" s="25" t="n">
        <x:v>0.731971</x:v>
      </x:c>
      <x:c r="H1720" t="n">
        <x:f>IF(G1720&lt;$B$6,1,0)</x:f>
        <x:v>0</x:v>
      </x:c>
      <x:c r="I1720" s="26" t="n">
        <x:f>H1720*IF(F1720=0,E1720*$B$7,-E1720*$B$8)</x:f>
        <x:v>0</x:v>
      </x:c>
    </x:row>
    <x:row r="1721">
      <x:c r="A1721" t="n">
        <x:v>2303</x:v>
      </x:c>
      <x:c r="B1721" t="str">
        <x:v>2024-11</x:v>
      </x:c>
      <x:c r="C1721" t="str">
        <x:v>Salaried</x:v>
      </x:c>
      <x:c r="D1721" t="str">
        <x:v>Group B</x:v>
      </x:c>
      <x:c r="E1721" s="26" t="n">
        <x:v>11273.85</x:v>
      </x:c>
      <x:c r="F1721" t="n">
        <x:v>0</x:v>
      </x:c>
      <x:c r="G1721" s="25" t="n">
        <x:v>0.125014</x:v>
      </x:c>
      <x:c r="H1721" t="n">
        <x:f>IF(G1721&lt;$B$6,1,0)</x:f>
        <x:v>1</x:v>
      </x:c>
      <x:c r="I1721" s="26" t="n">
        <x:f>H1721*IF(F1721=0,E1721*$B$7,-E1721*$B$8)</x:f>
        <x:v>1352.862</x:v>
      </x:c>
    </x:row>
    <x:row r="1722">
      <x:c r="A1722" t="n">
        <x:v>2315</x:v>
      </x:c>
      <x:c r="B1722" t="str">
        <x:v>2024-11</x:v>
      </x:c>
      <x:c r="C1722" t="str">
        <x:v>Salaried</x:v>
      </x:c>
      <x:c r="D1722" t="str">
        <x:v>Group B</x:v>
      </x:c>
      <x:c r="E1722" s="26" t="n">
        <x:v>25477.92</x:v>
      </x:c>
      <x:c r="F1722" t="n">
        <x:v>1</x:v>
      </x:c>
      <x:c r="G1722" s="25" t="n">
        <x:v>0.570158</x:v>
      </x:c>
      <x:c r="H1722" t="n">
        <x:f>IF(G1722&lt;$B$6,1,0)</x:f>
        <x:v>0</x:v>
      </x:c>
      <x:c r="I1722" s="26" t="n">
        <x:f>H1722*IF(F1722=0,E1722*$B$7,-E1722*$B$8)</x:f>
        <x:v>0</x:v>
      </x:c>
    </x:row>
    <x:row r="1723">
      <x:c r="A1723" t="n">
        <x:v>2360</x:v>
      </x:c>
      <x:c r="B1723" t="str">
        <x:v>2024-11</x:v>
      </x:c>
      <x:c r="C1723" t="str">
        <x:v>Salaried</x:v>
      </x:c>
      <x:c r="D1723" t="str">
        <x:v>Group A</x:v>
      </x:c>
      <x:c r="E1723" s="26" t="n">
        <x:v>26628.98</x:v>
      </x:c>
      <x:c r="F1723" t="n">
        <x:v>0</x:v>
      </x:c>
      <x:c r="G1723" s="25" t="n">
        <x:v>0.204534</x:v>
      </x:c>
      <x:c r="H1723" t="n">
        <x:f>IF(G1723&lt;$B$6,1,0)</x:f>
        <x:v>0</x:v>
      </x:c>
      <x:c r="I1723" s="26" t="n">
        <x:f>H1723*IF(F1723=0,E1723*$B$7,-E1723*$B$8)</x:f>
        <x:v>0</x:v>
      </x:c>
    </x:row>
    <x:row r="1724">
      <x:c r="A1724" t="n">
        <x:v>2372</x:v>
      </x:c>
      <x:c r="B1724" t="str">
        <x:v>2024-11</x:v>
      </x:c>
      <x:c r="C1724" t="str">
        <x:v>Salaried</x:v>
      </x:c>
      <x:c r="D1724" t="str">
        <x:v>Group B</x:v>
      </x:c>
      <x:c r="E1724" s="26" t="n">
        <x:v>12839.38</x:v>
      </x:c>
      <x:c r="F1724" t="n">
        <x:v>0</x:v>
      </x:c>
      <x:c r="G1724" s="25" t="n">
        <x:v>0.139631</x:v>
      </x:c>
      <x:c r="H1724" t="n">
        <x:f>IF(G1724&lt;$B$6,1,0)</x:f>
        <x:v>1</x:v>
      </x:c>
      <x:c r="I1724" s="26" t="n">
        <x:f>H1724*IF(F1724=0,E1724*$B$7,-E1724*$B$8)</x:f>
        <x:v>1540.7255999999998</x:v>
      </x:c>
    </x:row>
    <x:row r="1725">
      <x:c r="A1725" t="n">
        <x:v>2386</x:v>
      </x:c>
      <x:c r="B1725" t="str">
        <x:v>2024-11</x:v>
      </x:c>
      <x:c r="C1725" t="str">
        <x:v>Salaried</x:v>
      </x:c>
      <x:c r="D1725" t="str">
        <x:v>Group A</x:v>
      </x:c>
      <x:c r="E1725" s="26" t="n">
        <x:v>3650.02</x:v>
      </x:c>
      <x:c r="F1725" t="n">
        <x:v>0</x:v>
      </x:c>
      <x:c r="G1725" s="25" t="n">
        <x:v>0.062417</x:v>
      </x:c>
      <x:c r="H1725" t="n">
        <x:f>IF(G1725&lt;$B$6,1,0)</x:f>
        <x:v>1</x:v>
      </x:c>
      <x:c r="I1725" s="26" t="n">
        <x:f>H1725*IF(F1725=0,E1725*$B$7,-E1725*$B$8)</x:f>
        <x:v>438.00239999999997</x:v>
      </x:c>
    </x:row>
    <x:row r="1726">
      <x:c r="A1726" t="n">
        <x:v>2393</x:v>
      </x:c>
      <x:c r="B1726" t="str">
        <x:v>2024-11</x:v>
      </x:c>
      <x:c r="C1726" t="str">
        <x:v>Contract</x:v>
      </x:c>
      <x:c r="D1726" t="str">
        <x:v>Group A</x:v>
      </x:c>
      <x:c r="E1726" s="26" t="n">
        <x:v>17224.83</x:v>
      </x:c>
      <x:c r="F1726" t="n">
        <x:v>1</x:v>
      </x:c>
      <x:c r="G1726" s="25" t="n">
        <x:v>0.893716</x:v>
      </x:c>
      <x:c r="H1726" t="n">
        <x:f>IF(G1726&lt;$B$6,1,0)</x:f>
        <x:v>0</x:v>
      </x:c>
      <x:c r="I1726" s="26" t="n">
        <x:f>H1726*IF(F1726=0,E1726*$B$7,-E1726*$B$8)</x:f>
        <x:v>0</x:v>
      </x:c>
    </x:row>
    <x:row r="1727">
      <x:c r="A1727" t="n">
        <x:v>2406</x:v>
      </x:c>
      <x:c r="B1727" t="str">
        <x:v>2024-11</x:v>
      </x:c>
      <x:c r="C1727" t="str">
        <x:v>Contract</x:v>
      </x:c>
      <x:c r="D1727" t="str">
        <x:v>Group A</x:v>
      </x:c>
      <x:c r="E1727" s="26" t="n">
        <x:v>11638.73</x:v>
      </x:c>
      <x:c r="F1727" t="n">
        <x:v>1</x:v>
      </x:c>
      <x:c r="G1727" s="25" t="n">
        <x:v>0.263458</x:v>
      </x:c>
      <x:c r="H1727" t="n">
        <x:f>IF(G1727&lt;$B$6,1,0)</x:f>
        <x:v>0</x:v>
      </x:c>
      <x:c r="I1727" s="26" t="n">
        <x:f>H1727*IF(F1727=0,E1727*$B$7,-E1727*$B$8)</x:f>
        <x:v>0</x:v>
      </x:c>
    </x:row>
    <x:row r="1728">
      <x:c r="A1728" t="n">
        <x:v>2425</x:v>
      </x:c>
      <x:c r="B1728" t="str">
        <x:v>2024-11</x:v>
      </x:c>
      <x:c r="C1728" t="str">
        <x:v>Salaried</x:v>
      </x:c>
      <x:c r="D1728" t="str">
        <x:v>Group A</x:v>
      </x:c>
      <x:c r="E1728" s="26" t="n">
        <x:v>7118.05</x:v>
      </x:c>
      <x:c r="F1728" t="n">
        <x:v>0</x:v>
      </x:c>
      <x:c r="G1728" s="25" t="n">
        <x:v>0.256381</x:v>
      </x:c>
      <x:c r="H1728" t="n">
        <x:f>IF(G1728&lt;$B$6,1,0)</x:f>
        <x:v>0</x:v>
      </x:c>
      <x:c r="I1728" s="26" t="n">
        <x:f>H1728*IF(F1728=0,E1728*$B$7,-E1728*$B$8)</x:f>
        <x:v>0</x:v>
      </x:c>
    </x:row>
    <x:row r="1729">
      <x:c r="A1729" t="n">
        <x:v>2460</x:v>
      </x:c>
      <x:c r="B1729" t="str">
        <x:v>2024-11</x:v>
      </x:c>
      <x:c r="C1729" t="str">
        <x:v>Self employed</x:v>
      </x:c>
      <x:c r="D1729" t="str">
        <x:v>Group B</x:v>
      </x:c>
      <x:c r="E1729" s="26" t="n">
        <x:v>12180.68</x:v>
      </x:c>
      <x:c r="F1729" t="n">
        <x:v>1</x:v>
      </x:c>
      <x:c r="G1729" s="25" t="n">
        <x:v>0.206604</x:v>
      </x:c>
      <x:c r="H1729" t="n">
        <x:f>IF(G1729&lt;$B$6,1,0)</x:f>
        <x:v>0</x:v>
      </x:c>
      <x:c r="I1729" s="26" t="n">
        <x:f>H1729*IF(F1729=0,E1729*$B$7,-E1729*$B$8)</x:f>
        <x:v>0</x:v>
      </x:c>
    </x:row>
    <x:row r="1730">
      <x:c r="A1730" t="n">
        <x:v>2475</x:v>
      </x:c>
      <x:c r="B1730" t="str">
        <x:v>2024-11</x:v>
      </x:c>
      <x:c r="C1730" t="str">
        <x:v>Contract</x:v>
      </x:c>
      <x:c r="D1730" t="str">
        <x:v>Group A</x:v>
      </x:c>
      <x:c r="E1730" s="26" t="n">
        <x:v>20414.8</x:v>
      </x:c>
      <x:c r="F1730" t="n">
        <x:v>0</x:v>
      </x:c>
      <x:c r="G1730" s="25" t="n">
        <x:v>0.458668</x:v>
      </x:c>
      <x:c r="H1730" t="n">
        <x:f>IF(G1730&lt;$B$6,1,0)</x:f>
        <x:v>0</x:v>
      </x:c>
      <x:c r="I1730" s="26" t="n">
        <x:f>H1730*IF(F1730=0,E1730*$B$7,-E1730*$B$8)</x:f>
        <x:v>0</x:v>
      </x:c>
    </x:row>
    <x:row r="1731">
      <x:c r="A1731" t="n">
        <x:v>2496</x:v>
      </x:c>
      <x:c r="B1731" t="str">
        <x:v>2024-11</x:v>
      </x:c>
      <x:c r="C1731" t="str">
        <x:v>Salaried</x:v>
      </x:c>
      <x:c r="D1731" t="str">
        <x:v>Group A</x:v>
      </x:c>
      <x:c r="E1731" s="26" t="n">
        <x:v>11712.44</x:v>
      </x:c>
      <x:c r="F1731" t="n">
        <x:v>1</x:v>
      </x:c>
      <x:c r="G1731" s="25" t="n">
        <x:v>0.501466</x:v>
      </x:c>
      <x:c r="H1731" t="n">
        <x:f>IF(G1731&lt;$B$6,1,0)</x:f>
        <x:v>0</x:v>
      </x:c>
      <x:c r="I1731" s="26" t="n">
        <x:f>H1731*IF(F1731=0,E1731*$B$7,-E1731*$B$8)</x:f>
        <x:v>0</x:v>
      </x:c>
    </x:row>
    <x:row r="1732">
      <x:c r="A1732" t="n">
        <x:v>2510</x:v>
      </x:c>
      <x:c r="B1732" t="str">
        <x:v>2024-11</x:v>
      </x:c>
      <x:c r="C1732" t="str">
        <x:v>Self employed</x:v>
      </x:c>
      <x:c r="D1732" t="str">
        <x:v>Group B</x:v>
      </x:c>
      <x:c r="E1732" s="26" t="n">
        <x:v>11774.74</x:v>
      </x:c>
      <x:c r="F1732" t="n">
        <x:v>0</x:v>
      </x:c>
      <x:c r="G1732" s="25" t="n">
        <x:v>0.10032</x:v>
      </x:c>
      <x:c r="H1732" t="n">
        <x:f>IF(G1732&lt;$B$6,1,0)</x:f>
        <x:v>1</x:v>
      </x:c>
      <x:c r="I1732" s="26" t="n">
        <x:f>H1732*IF(F1732=0,E1732*$B$7,-E1732*$B$8)</x:f>
        <x:v>1412.9687999999999</x:v>
      </x:c>
    </x:row>
    <x:row r="1733">
      <x:c r="A1733" t="n">
        <x:v>2545</x:v>
      </x:c>
      <x:c r="B1733" t="str">
        <x:v>2024-11</x:v>
      </x:c>
      <x:c r="C1733" t="str">
        <x:v>Salaried</x:v>
      </x:c>
      <x:c r="D1733" t="str">
        <x:v>Group A</x:v>
      </x:c>
      <x:c r="E1733" s="26" t="n">
        <x:v>41736.91</x:v>
      </x:c>
      <x:c r="F1733" t="n">
        <x:v>0</x:v>
      </x:c>
      <x:c r="G1733" s="25" t="n">
        <x:v>0.34471</x:v>
      </x:c>
      <x:c r="H1733" t="n">
        <x:f>IF(G1733&lt;$B$6,1,0)</x:f>
        <x:v>0</x:v>
      </x:c>
      <x:c r="I1733" s="26" t="n">
        <x:f>H1733*IF(F1733=0,E1733*$B$7,-E1733*$B$8)</x:f>
        <x:v>0</x:v>
      </x:c>
    </x:row>
    <x:row r="1734">
      <x:c r="A1734" t="n">
        <x:v>2546</x:v>
      </x:c>
      <x:c r="B1734" t="str">
        <x:v>2024-11</x:v>
      </x:c>
      <x:c r="C1734" t="str">
        <x:v>Salaried</x:v>
      </x:c>
      <x:c r="D1734" t="str">
        <x:v>Group B</x:v>
      </x:c>
      <x:c r="E1734" s="26" t="n">
        <x:v>8180.58</x:v>
      </x:c>
      <x:c r="F1734" t="n">
        <x:v>0</x:v>
      </x:c>
      <x:c r="G1734" s="25" t="n">
        <x:v>0.081812</x:v>
      </x:c>
      <x:c r="H1734" t="n">
        <x:f>IF(G1734&lt;$B$6,1,0)</x:f>
        <x:v>1</x:v>
      </x:c>
      <x:c r="I1734" s="26" t="n">
        <x:f>H1734*IF(F1734=0,E1734*$B$7,-E1734*$B$8)</x:f>
        <x:v>981.6696</x:v>
      </x:c>
    </x:row>
    <x:row r="1735">
      <x:c r="A1735" t="n">
        <x:v>2563</x:v>
      </x:c>
      <x:c r="B1735" t="str">
        <x:v>2024-11</x:v>
      </x:c>
      <x:c r="C1735" t="str">
        <x:v>Salaried</x:v>
      </x:c>
      <x:c r="D1735" t="str">
        <x:v>Group A</x:v>
      </x:c>
      <x:c r="E1735" s="26" t="n">
        <x:v>2696.79</x:v>
      </x:c>
      <x:c r="F1735" t="n">
        <x:v>0</x:v>
      </x:c>
      <x:c r="G1735" s="25" t="n">
        <x:v>0.041328</x:v>
      </x:c>
      <x:c r="H1735" t="n">
        <x:f>IF(G1735&lt;$B$6,1,0)</x:f>
        <x:v>1</x:v>
      </x:c>
      <x:c r="I1735" s="26" t="n">
        <x:f>H1735*IF(F1735=0,E1735*$B$7,-E1735*$B$8)</x:f>
        <x:v>323.6148</x:v>
      </x:c>
    </x:row>
    <x:row r="1736">
      <x:c r="A1736" t="n">
        <x:v>2581</x:v>
      </x:c>
      <x:c r="B1736" t="str">
        <x:v>2024-11</x:v>
      </x:c>
      <x:c r="C1736" t="str">
        <x:v>Salaried</x:v>
      </x:c>
      <x:c r="D1736" t="str">
        <x:v>Group B</x:v>
      </x:c>
      <x:c r="E1736" s="26" t="n">
        <x:v>21769.13</x:v>
      </x:c>
      <x:c r="F1736" t="n">
        <x:v>0</x:v>
      </x:c>
      <x:c r="G1736" s="25" t="n">
        <x:v>0.426243</x:v>
      </x:c>
      <x:c r="H1736" t="n">
        <x:f>IF(G1736&lt;$B$6,1,0)</x:f>
        <x:v>0</x:v>
      </x:c>
      <x:c r="I1736" s="26" t="n">
        <x:f>H1736*IF(F1736=0,E1736*$B$7,-E1736*$B$8)</x:f>
        <x:v>0</x:v>
      </x:c>
    </x:row>
    <x:row r="1737">
      <x:c r="A1737" t="n">
        <x:v>2590</x:v>
      </x:c>
      <x:c r="B1737" t="str">
        <x:v>2024-11</x:v>
      </x:c>
      <x:c r="C1737" t="str">
        <x:v>Self employed</x:v>
      </x:c>
      <x:c r="D1737" t="str">
        <x:v>Group A</x:v>
      </x:c>
      <x:c r="E1737" s="26" t="n">
        <x:v>24497.01</x:v>
      </x:c>
      <x:c r="F1737" t="n">
        <x:v>0</x:v>
      </x:c>
      <x:c r="G1737" s="25" t="n">
        <x:v>0.407887</x:v>
      </x:c>
      <x:c r="H1737" t="n">
        <x:f>IF(G1737&lt;$B$6,1,0)</x:f>
        <x:v>0</x:v>
      </x:c>
      <x:c r="I1737" s="26" t="n">
        <x:f>H1737*IF(F1737=0,E1737*$B$7,-E1737*$B$8)</x:f>
        <x:v>0</x:v>
      </x:c>
    </x:row>
    <x:row r="1738">
      <x:c r="A1738" t="n">
        <x:v>2623</x:v>
      </x:c>
      <x:c r="B1738" t="str">
        <x:v>2024-11</x:v>
      </x:c>
      <x:c r="C1738" t="str">
        <x:v>Self employed</x:v>
      </x:c>
      <x:c r="D1738" t="str">
        <x:v>Group A</x:v>
      </x:c>
      <x:c r="E1738" s="26" t="n">
        <x:v>11007.77</x:v>
      </x:c>
      <x:c r="F1738" t="n">
        <x:v>1</x:v>
      </x:c>
      <x:c r="G1738" s="25" t="n">
        <x:v>0.248015</x:v>
      </x:c>
      <x:c r="H1738" t="n">
        <x:f>IF(G1738&lt;$B$6,1,0)</x:f>
        <x:v>0</x:v>
      </x:c>
      <x:c r="I1738" s="26" t="n">
        <x:f>H1738*IF(F1738=0,E1738*$B$7,-E1738*$B$8)</x:f>
        <x:v>0</x:v>
      </x:c>
    </x:row>
    <x:row r="1739">
      <x:c r="A1739" t="n">
        <x:v>2650</x:v>
      </x:c>
      <x:c r="B1739" t="str">
        <x:v>2024-11</x:v>
      </x:c>
      <x:c r="C1739" t="str">
        <x:v>Salaried</x:v>
      </x:c>
      <x:c r="D1739" t="str">
        <x:v>Group A</x:v>
      </x:c>
      <x:c r="E1739" s="26" t="n">
        <x:v>15977.16</x:v>
      </x:c>
      <x:c r="F1739" t="n">
        <x:v>0</x:v>
      </x:c>
      <x:c r="G1739" s="25" t="n">
        <x:v>0.262797</x:v>
      </x:c>
      <x:c r="H1739" t="n">
        <x:f>IF(G1739&lt;$B$6,1,0)</x:f>
        <x:v>0</x:v>
      </x:c>
      <x:c r="I1739" s="26" t="n">
        <x:f>H1739*IF(F1739=0,E1739*$B$7,-E1739*$B$8)</x:f>
        <x:v>0</x:v>
      </x:c>
    </x:row>
    <x:row r="1740">
      <x:c r="A1740" t="n">
        <x:v>2705</x:v>
      </x:c>
      <x:c r="B1740" t="str">
        <x:v>2024-11</x:v>
      </x:c>
      <x:c r="C1740" t="str">
        <x:v>Salaried</x:v>
      </x:c>
      <x:c r="D1740" t="str">
        <x:v>Group B</x:v>
      </x:c>
      <x:c r="E1740" s="26" t="n">
        <x:v>17796.04</x:v>
      </x:c>
      <x:c r="F1740" t="n">
        <x:v>1</x:v>
      </x:c>
      <x:c r="G1740" s="25" t="n">
        <x:v>0.16014</x:v>
      </x:c>
      <x:c r="H1740" t="n">
        <x:f>IF(G1740&lt;$B$6,1,0)</x:f>
        <x:v>0</x:v>
      </x:c>
      <x:c r="I1740" s="26" t="n">
        <x:f>H1740*IF(F1740=0,E1740*$B$7,-E1740*$B$8)</x:f>
        <x:v>0</x:v>
      </x:c>
    </x:row>
    <x:row r="1741">
      <x:c r="A1741" t="n">
        <x:v>2712</x:v>
      </x:c>
      <x:c r="B1741" t="str">
        <x:v>2024-11</x:v>
      </x:c>
      <x:c r="C1741" t="str">
        <x:v>Salaried</x:v>
      </x:c>
      <x:c r="D1741" t="str">
        <x:v>Group A</x:v>
      </x:c>
      <x:c r="E1741" s="26" t="n">
        <x:v>21397.93</x:v>
      </x:c>
      <x:c r="F1741" t="n">
        <x:v>1</x:v>
      </x:c>
      <x:c r="G1741" s="25" t="n">
        <x:v>0.070655</x:v>
      </x:c>
      <x:c r="H1741" t="n">
        <x:f>IF(G1741&lt;$B$6,1,0)</x:f>
        <x:v>1</x:v>
      </x:c>
      <x:c r="I1741" s="26" t="n">
        <x:f>H1741*IF(F1741=0,E1741*$B$7,-E1741*$B$8)</x:f>
        <x:v>-13908.6545</x:v>
      </x:c>
    </x:row>
    <x:row r="1742">
      <x:c r="A1742" t="n">
        <x:v>2741</x:v>
      </x:c>
      <x:c r="B1742" t="str">
        <x:v>2024-11</x:v>
      </x:c>
      <x:c r="C1742" t="str">
        <x:v>Salaried</x:v>
      </x:c>
      <x:c r="D1742" t="str">
        <x:v>Group A</x:v>
      </x:c>
      <x:c r="E1742" s="26" t="n">
        <x:v>9548.06</x:v>
      </x:c>
      <x:c r="F1742" t="n">
        <x:v>0</x:v>
      </x:c>
      <x:c r="G1742" s="25" t="n">
        <x:v>0.127175</x:v>
      </x:c>
      <x:c r="H1742" t="n">
        <x:f>IF(G1742&lt;$B$6,1,0)</x:f>
        <x:v>1</x:v>
      </x:c>
      <x:c r="I1742" s="26" t="n">
        <x:f>H1742*IF(F1742=0,E1742*$B$7,-E1742*$B$8)</x:f>
        <x:v>1145.7672</x:v>
      </x:c>
    </x:row>
    <x:row r="1743">
      <x:c r="A1743" t="n">
        <x:v>2773</x:v>
      </x:c>
      <x:c r="B1743" t="str">
        <x:v>2024-11</x:v>
      </x:c>
      <x:c r="C1743" t="str">
        <x:v>Salaried</x:v>
      </x:c>
      <x:c r="D1743" t="str">
        <x:v>Group A</x:v>
      </x:c>
      <x:c r="E1743" s="26" t="n">
        <x:v>18106.95</x:v>
      </x:c>
      <x:c r="F1743" t="n">
        <x:v>1</x:v>
      </x:c>
      <x:c r="G1743" s="25" t="n">
        <x:v>0.219432</x:v>
      </x:c>
      <x:c r="H1743" t="n">
        <x:f>IF(G1743&lt;$B$6,1,0)</x:f>
        <x:v>0</x:v>
      </x:c>
      <x:c r="I1743" s="26" t="n">
        <x:f>H1743*IF(F1743=0,E1743*$B$7,-E1743*$B$8)</x:f>
        <x:v>0</x:v>
      </x:c>
    </x:row>
    <x:row r="1744">
      <x:c r="A1744" t="n">
        <x:v>2829</x:v>
      </x:c>
      <x:c r="B1744" t="str">
        <x:v>2024-11</x:v>
      </x:c>
      <x:c r="C1744" t="str">
        <x:v>Salaried</x:v>
      </x:c>
      <x:c r="D1744" t="str">
        <x:v>Group B</x:v>
      </x:c>
      <x:c r="E1744" s="26" t="n">
        <x:v>19844.27</x:v>
      </x:c>
      <x:c r="F1744" t="n">
        <x:v>1</x:v>
      </x:c>
      <x:c r="G1744" s="25" t="n">
        <x:v>0.126641</x:v>
      </x:c>
      <x:c r="H1744" t="n">
        <x:f>IF(G1744&lt;$B$6,1,0)</x:f>
        <x:v>1</x:v>
      </x:c>
      <x:c r="I1744" s="26" t="n">
        <x:f>H1744*IF(F1744=0,E1744*$B$7,-E1744*$B$8)</x:f>
        <x:v>-12898.775500000002</x:v>
      </x:c>
    </x:row>
    <x:row r="1745">
      <x:c r="A1745" t="n">
        <x:v>2839</x:v>
      </x:c>
      <x:c r="B1745" t="str">
        <x:v>2024-11</x:v>
      </x:c>
      <x:c r="C1745" t="str">
        <x:v>Salaried</x:v>
      </x:c>
      <x:c r="D1745" t="str">
        <x:v>Group B</x:v>
      </x:c>
      <x:c r="E1745" s="26" t="n">
        <x:v>6140.83</x:v>
      </x:c>
      <x:c r="F1745" t="n">
        <x:v>0</x:v>
      </x:c>
      <x:c r="G1745" s="25" t="n">
        <x:v>0.122532</x:v>
      </x:c>
      <x:c r="H1745" t="n">
        <x:f>IF(G1745&lt;$B$6,1,0)</x:f>
        <x:v>1</x:v>
      </x:c>
      <x:c r="I1745" s="26" t="n">
        <x:f>H1745*IF(F1745=0,E1745*$B$7,-E1745*$B$8)</x:f>
        <x:v>736.8996</x:v>
      </x:c>
    </x:row>
    <x:row r="1746">
      <x:c r="A1746" t="n">
        <x:v>2858</x:v>
      </x:c>
      <x:c r="B1746" t="str">
        <x:v>2024-11</x:v>
      </x:c>
      <x:c r="C1746" t="str">
        <x:v>Salaried</x:v>
      </x:c>
      <x:c r="D1746" t="str">
        <x:v>Group A</x:v>
      </x:c>
      <x:c r="E1746" s="26" t="n">
        <x:v>18056.81</x:v>
      </x:c>
      <x:c r="F1746" t="n">
        <x:v>1</x:v>
      </x:c>
      <x:c r="G1746" s="25" t="n">
        <x:v>0.26316</x:v>
      </x:c>
      <x:c r="H1746" t="n">
        <x:f>IF(G1746&lt;$B$6,1,0)</x:f>
        <x:v>0</x:v>
      </x:c>
      <x:c r="I1746" s="26" t="n">
        <x:f>H1746*IF(F1746=0,E1746*$B$7,-E1746*$B$8)</x:f>
        <x:v>0</x:v>
      </x:c>
    </x:row>
    <x:row r="1747">
      <x:c r="A1747" t="n">
        <x:v>2865</x:v>
      </x:c>
      <x:c r="B1747" t="str">
        <x:v>2024-11</x:v>
      </x:c>
      <x:c r="C1747" t="str">
        <x:v>Salaried</x:v>
      </x:c>
      <x:c r="D1747" t="str">
        <x:v>Group A</x:v>
      </x:c>
      <x:c r="E1747" s="26" t="n">
        <x:v>5873.22</x:v>
      </x:c>
      <x:c r="F1747" t="n">
        <x:v>0</x:v>
      </x:c>
      <x:c r="G1747" s="25" t="n">
        <x:v>0.076647</x:v>
      </x:c>
      <x:c r="H1747" t="n">
        <x:f>IF(G1747&lt;$B$6,1,0)</x:f>
        <x:v>1</x:v>
      </x:c>
      <x:c r="I1747" s="26" t="n">
        <x:f>H1747*IF(F1747=0,E1747*$B$7,-E1747*$B$8)</x:f>
        <x:v>704.7864</x:v>
      </x:c>
    </x:row>
    <x:row r="1748">
      <x:c r="A1748" t="n">
        <x:v>2868</x:v>
      </x:c>
      <x:c r="B1748" t="str">
        <x:v>2024-11</x:v>
      </x:c>
      <x:c r="C1748" t="str">
        <x:v>Self employed</x:v>
      </x:c>
      <x:c r="D1748" t="str">
        <x:v>Group B</x:v>
      </x:c>
      <x:c r="E1748" s="26" t="n">
        <x:v>15459.04</x:v>
      </x:c>
      <x:c r="F1748" t="n">
        <x:v>0</x:v>
      </x:c>
      <x:c r="G1748" s="25" t="n">
        <x:v>0.133593</x:v>
      </x:c>
      <x:c r="H1748" t="n">
        <x:f>IF(G1748&lt;$B$6,1,0)</x:f>
        <x:v>1</x:v>
      </x:c>
      <x:c r="I1748" s="26" t="n">
        <x:f>H1748*IF(F1748=0,E1748*$B$7,-E1748*$B$8)</x:f>
        <x:v>1855.0848</x:v>
      </x:c>
    </x:row>
    <x:row r="1749">
      <x:c r="A1749" t="n">
        <x:v>2912</x:v>
      </x:c>
      <x:c r="B1749" t="str">
        <x:v>2024-11</x:v>
      </x:c>
      <x:c r="C1749" t="str">
        <x:v>Salaried</x:v>
      </x:c>
      <x:c r="D1749" t="str">
        <x:v>Group B</x:v>
      </x:c>
      <x:c r="E1749" s="26" t="n">
        <x:v>14170.28</x:v>
      </x:c>
      <x:c r="F1749" t="n">
        <x:v>0</x:v>
      </x:c>
      <x:c r="G1749" s="25" t="n">
        <x:v>0.195169</x:v>
      </x:c>
      <x:c r="H1749" t="n">
        <x:f>IF(G1749&lt;$B$6,1,0)</x:f>
        <x:v>0</x:v>
      </x:c>
      <x:c r="I1749" s="26" t="n">
        <x:f>H1749*IF(F1749=0,E1749*$B$7,-E1749*$B$8)</x:f>
        <x:v>0</x:v>
      </x:c>
    </x:row>
    <x:row r="1750">
      <x:c r="A1750" t="n">
        <x:v>2973</x:v>
      </x:c>
      <x:c r="B1750" t="str">
        <x:v>2024-11</x:v>
      </x:c>
      <x:c r="C1750" t="str">
        <x:v>Salaried</x:v>
      </x:c>
      <x:c r="D1750" t="str">
        <x:v>Group B</x:v>
      </x:c>
      <x:c r="E1750" s="26" t="n">
        <x:v>75000</x:v>
      </x:c>
      <x:c r="F1750" t="n">
        <x:v>0</x:v>
      </x:c>
      <x:c r="G1750" s="25" t="n">
        <x:v>0.678335</x:v>
      </x:c>
      <x:c r="H1750" t="n">
        <x:f>IF(G1750&lt;$B$6,1,0)</x:f>
        <x:v>0</x:v>
      </x:c>
      <x:c r="I1750" s="26" t="n">
        <x:f>H1750*IF(F1750=0,E1750*$B$7,-E1750*$B$8)</x:f>
        <x:v>0</x:v>
      </x:c>
    </x:row>
    <x:row r="1751">
      <x:c r="A1751" t="n">
        <x:v>2980</x:v>
      </x:c>
      <x:c r="B1751" t="str">
        <x:v>2024-11</x:v>
      </x:c>
      <x:c r="C1751" t="str">
        <x:v>Salaried</x:v>
      </x:c>
      <x:c r="D1751" t="str">
        <x:v>Group A</x:v>
      </x:c>
      <x:c r="E1751" s="26" t="n">
        <x:v>20450.25</x:v>
      </x:c>
      <x:c r="F1751" t="n">
        <x:v>0</x:v>
      </x:c>
      <x:c r="G1751" s="25" t="n">
        <x:v>0.227058</x:v>
      </x:c>
      <x:c r="H1751" t="n">
        <x:f>IF(G1751&lt;$B$6,1,0)</x:f>
        <x:v>0</x:v>
      </x:c>
      <x:c r="I1751" s="26" t="n">
        <x:f>H1751*IF(F1751=0,E1751*$B$7,-E1751*$B$8)</x:f>
        <x:v>0</x:v>
      </x:c>
    </x:row>
    <x:row r="1752">
      <x:c r="A1752" t="n">
        <x:v>3001</x:v>
      </x:c>
      <x:c r="B1752" t="str">
        <x:v>2024-11</x:v>
      </x:c>
      <x:c r="C1752" t="str">
        <x:v>Salaried</x:v>
      </x:c>
      <x:c r="D1752" t="str">
        <x:v>Group B</x:v>
      </x:c>
      <x:c r="E1752" s="26" t="n">
        <x:v>47150.66</x:v>
      </x:c>
      <x:c r="F1752" t="n">
        <x:v>1</x:v>
      </x:c>
      <x:c r="G1752" s="25" t="n">
        <x:v>0.643177</x:v>
      </x:c>
      <x:c r="H1752" t="n">
        <x:f>IF(G1752&lt;$B$6,1,0)</x:f>
        <x:v>0</x:v>
      </x:c>
      <x:c r="I1752" s="26" t="n">
        <x:f>H1752*IF(F1752=0,E1752*$B$7,-E1752*$B$8)</x:f>
        <x:v>0</x:v>
      </x:c>
    </x:row>
    <x:row r="1753">
      <x:c r="A1753" t="n">
        <x:v>3005</x:v>
      </x:c>
      <x:c r="B1753" t="str">
        <x:v>2024-11</x:v>
      </x:c>
      <x:c r="C1753" t="str">
        <x:v>Salaried</x:v>
      </x:c>
      <x:c r="D1753" t="str">
        <x:v>Group A</x:v>
      </x:c>
      <x:c r="E1753" s="26" t="n">
        <x:v>11898.3</x:v>
      </x:c>
      <x:c r="F1753" t="n">
        <x:v>0</x:v>
      </x:c>
      <x:c r="G1753" s="25" t="n">
        <x:v>0.14997</x:v>
      </x:c>
      <x:c r="H1753" t="n">
        <x:f>IF(G1753&lt;$B$6,1,0)</x:f>
        <x:v>1</x:v>
      </x:c>
      <x:c r="I1753" s="26" t="n">
        <x:f>H1753*IF(F1753=0,E1753*$B$7,-E1753*$B$8)</x:f>
        <x:v>1427.7959999999998</x:v>
      </x:c>
    </x:row>
    <x:row r="1754">
      <x:c r="A1754" t="n">
        <x:v>3010</x:v>
      </x:c>
      <x:c r="B1754" t="str">
        <x:v>2024-11</x:v>
      </x:c>
      <x:c r="C1754" t="str">
        <x:v>Salaried</x:v>
      </x:c>
      <x:c r="D1754" t="str">
        <x:v>Group B</x:v>
      </x:c>
      <x:c r="E1754" s="26" t="n">
        <x:v>70020.67</x:v>
      </x:c>
      <x:c r="F1754" t="n">
        <x:v>0</x:v>
      </x:c>
      <x:c r="G1754" s="25" t="n">
        <x:v>0.541209</x:v>
      </x:c>
      <x:c r="H1754" t="n">
        <x:f>IF(G1754&lt;$B$6,1,0)</x:f>
        <x:v>0</x:v>
      </x:c>
      <x:c r="I1754" s="26" t="n">
        <x:f>H1754*IF(F1754=0,E1754*$B$7,-E1754*$B$8)</x:f>
        <x:v>0</x:v>
      </x:c>
    </x:row>
    <x:row r="1755">
      <x:c r="A1755" t="n">
        <x:v>3020</x:v>
      </x:c>
      <x:c r="B1755" t="str">
        <x:v>2024-11</x:v>
      </x:c>
      <x:c r="C1755" t="str">
        <x:v>Salaried</x:v>
      </x:c>
      <x:c r="D1755" t="str">
        <x:v>Group B</x:v>
      </x:c>
      <x:c r="E1755" s="26" t="n">
        <x:v>16938.32</x:v>
      </x:c>
      <x:c r="F1755" t="n">
        <x:v>1</x:v>
      </x:c>
      <x:c r="G1755" s="25" t="n">
        <x:v>0.489332</x:v>
      </x:c>
      <x:c r="H1755" t="n">
        <x:f>IF(G1755&lt;$B$6,1,0)</x:f>
        <x:v>0</x:v>
      </x:c>
      <x:c r="I1755" s="26" t="n">
        <x:f>H1755*IF(F1755=0,E1755*$B$7,-E1755*$B$8)</x:f>
        <x:v>0</x:v>
      </x:c>
    </x:row>
    <x:row r="1756">
      <x:c r="A1756" t="n">
        <x:v>3040</x:v>
      </x:c>
      <x:c r="B1756" t="str">
        <x:v>2024-11</x:v>
      </x:c>
      <x:c r="C1756" t="str">
        <x:v>Salaried</x:v>
      </x:c>
      <x:c r="D1756" t="str">
        <x:v>Group A</x:v>
      </x:c>
      <x:c r="E1756" s="26" t="n">
        <x:v>28099.4</x:v>
      </x:c>
      <x:c r="F1756" t="n">
        <x:v>1</x:v>
      </x:c>
      <x:c r="G1756" s="25" t="n">
        <x:v>0.382345</x:v>
      </x:c>
      <x:c r="H1756" t="n">
        <x:f>IF(G1756&lt;$B$6,1,0)</x:f>
        <x:v>0</x:v>
      </x:c>
      <x:c r="I1756" s="26" t="n">
        <x:f>H1756*IF(F1756=0,E1756*$B$7,-E1756*$B$8)</x:f>
        <x:v>0</x:v>
      </x:c>
    </x:row>
    <x:row r="1757">
      <x:c r="A1757" t="n">
        <x:v>3077</x:v>
      </x:c>
      <x:c r="B1757" t="str">
        <x:v>2024-11</x:v>
      </x:c>
      <x:c r="C1757" t="str">
        <x:v>Self employed</x:v>
      </x:c>
      <x:c r="D1757" t="str">
        <x:v>Group A</x:v>
      </x:c>
      <x:c r="E1757" s="26" t="n">
        <x:v>20376.69</x:v>
      </x:c>
      <x:c r="F1757" t="n">
        <x:v>1</x:v>
      </x:c>
      <x:c r="G1757" s="25" t="n">
        <x:v>0.112051</x:v>
      </x:c>
      <x:c r="H1757" t="n">
        <x:f>IF(G1757&lt;$B$6,1,0)</x:f>
        <x:v>1</x:v>
      </x:c>
      <x:c r="I1757" s="26" t="n">
        <x:f>H1757*IF(F1757=0,E1757*$B$7,-E1757*$B$8)</x:f>
        <x:v>-13244.8485</x:v>
      </x:c>
    </x:row>
    <x:row r="1758">
      <x:c r="A1758" t="n">
        <x:v>3085</x:v>
      </x:c>
      <x:c r="B1758" t="str">
        <x:v>2024-11</x:v>
      </x:c>
      <x:c r="C1758" t="str">
        <x:v>Salaried</x:v>
      </x:c>
      <x:c r="D1758" t="str">
        <x:v>Group A</x:v>
      </x:c>
      <x:c r="E1758" s="26" t="n">
        <x:v>16018.44</x:v>
      </x:c>
      <x:c r="F1758" t="n">
        <x:v>0</x:v>
      </x:c>
      <x:c r="G1758" s="25" t="n">
        <x:v>0.17845</x:v>
      </x:c>
      <x:c r="H1758" t="n">
        <x:f>IF(G1758&lt;$B$6,1,0)</x:f>
        <x:v>0</x:v>
      </x:c>
      <x:c r="I1758" s="26" t="n">
        <x:f>H1758*IF(F1758=0,E1758*$B$7,-E1758*$B$8)</x:f>
        <x:v>0</x:v>
      </x:c>
    </x:row>
    <x:row r="1759">
      <x:c r="A1759" t="n">
        <x:v>3089</x:v>
      </x:c>
      <x:c r="B1759" t="str">
        <x:v>2024-11</x:v>
      </x:c>
      <x:c r="C1759" t="str">
        <x:v>Self employed</x:v>
      </x:c>
      <x:c r="D1759" t="str">
        <x:v>Group A</x:v>
      </x:c>
      <x:c r="E1759" s="26" t="n">
        <x:v>25235.89</x:v>
      </x:c>
      <x:c r="F1759" t="n">
        <x:v>0</x:v>
      </x:c>
      <x:c r="G1759" s="25" t="n">
        <x:v>0.729835</x:v>
      </x:c>
      <x:c r="H1759" t="n">
        <x:f>IF(G1759&lt;$B$6,1,0)</x:f>
        <x:v>0</x:v>
      </x:c>
      <x:c r="I1759" s="26" t="n">
        <x:f>H1759*IF(F1759=0,E1759*$B$7,-E1759*$B$8)</x:f>
        <x:v>0</x:v>
      </x:c>
    </x:row>
    <x:row r="1760">
      <x:c r="A1760" t="n">
        <x:v>3114</x:v>
      </x:c>
      <x:c r="B1760" t="str">
        <x:v>2024-11</x:v>
      </x:c>
      <x:c r="C1760" t="str">
        <x:v>Self employed</x:v>
      </x:c>
      <x:c r="D1760" t="str">
        <x:v>Group A</x:v>
      </x:c>
      <x:c r="E1760" s="26" t="n">
        <x:v>22717.23</x:v>
      </x:c>
      <x:c r="F1760" t="n">
        <x:v>0</x:v>
      </x:c>
      <x:c r="G1760" s="25" t="n">
        <x:v>0.338158</x:v>
      </x:c>
      <x:c r="H1760" t="n">
        <x:f>IF(G1760&lt;$B$6,1,0)</x:f>
        <x:v>0</x:v>
      </x:c>
      <x:c r="I1760" s="26" t="n">
        <x:f>H1760*IF(F1760=0,E1760*$B$7,-E1760*$B$8)</x:f>
        <x:v>0</x:v>
      </x:c>
    </x:row>
    <x:row r="1761">
      <x:c r="A1761" t="n">
        <x:v>3167</x:v>
      </x:c>
      <x:c r="B1761" t="str">
        <x:v>2024-11</x:v>
      </x:c>
      <x:c r="C1761" t="str">
        <x:v>Salaried</x:v>
      </x:c>
      <x:c r="D1761" t="str">
        <x:v>Group A</x:v>
      </x:c>
      <x:c r="E1761" s="26" t="n">
        <x:v>15009.86</x:v>
      </x:c>
      <x:c r="F1761" t="n">
        <x:v>1</x:v>
      </x:c>
      <x:c r="G1761" s="25" t="n">
        <x:v>0.125222</x:v>
      </x:c>
      <x:c r="H1761" t="n">
        <x:f>IF(G1761&lt;$B$6,1,0)</x:f>
        <x:v>1</x:v>
      </x:c>
      <x:c r="I1761" s="26" t="n">
        <x:f>H1761*IF(F1761=0,E1761*$B$7,-E1761*$B$8)</x:f>
        <x:v>-9756.409000000001</x:v>
      </x:c>
    </x:row>
    <x:row r="1762">
      <x:c r="A1762" t="n">
        <x:v>3191</x:v>
      </x:c>
      <x:c r="B1762" t="str">
        <x:v>2024-11</x:v>
      </x:c>
      <x:c r="C1762" t="str">
        <x:v>Salaried</x:v>
      </x:c>
      <x:c r="D1762" t="str">
        <x:v>Group A</x:v>
      </x:c>
      <x:c r="E1762" s="26" t="n">
        <x:v>26499.78</x:v>
      </x:c>
      <x:c r="F1762" t="n">
        <x:v>0</x:v>
      </x:c>
      <x:c r="G1762" s="25" t="n">
        <x:v>0.192923</x:v>
      </x:c>
      <x:c r="H1762" t="n">
        <x:f>IF(G1762&lt;$B$6,1,0)</x:f>
        <x:v>0</x:v>
      </x:c>
      <x:c r="I1762" s="26" t="n">
        <x:f>H1762*IF(F1762=0,E1762*$B$7,-E1762*$B$8)</x:f>
        <x:v>0</x:v>
      </x:c>
    </x:row>
    <x:row r="1763">
      <x:c r="A1763" t="n">
        <x:v>3379</x:v>
      </x:c>
      <x:c r="B1763" t="str">
        <x:v>2024-11</x:v>
      </x:c>
      <x:c r="C1763" t="str">
        <x:v>Salaried</x:v>
      </x:c>
      <x:c r="D1763" t="str">
        <x:v>Group A</x:v>
      </x:c>
      <x:c r="E1763" s="26" t="n">
        <x:v>18876.48</x:v>
      </x:c>
      <x:c r="F1763" t="n">
        <x:v>0</x:v>
      </x:c>
      <x:c r="G1763" s="25" t="n">
        <x:v>0.45515</x:v>
      </x:c>
      <x:c r="H1763" t="n">
        <x:f>IF(G1763&lt;$B$6,1,0)</x:f>
        <x:v>0</x:v>
      </x:c>
      <x:c r="I1763" s="26" t="n">
        <x:f>H1763*IF(F1763=0,E1763*$B$7,-E1763*$B$8)</x:f>
        <x:v>0</x:v>
      </x:c>
    </x:row>
    <x:row r="1764">
      <x:c r="A1764" t="n">
        <x:v>3380</x:v>
      </x:c>
      <x:c r="B1764" t="str">
        <x:v>2024-11</x:v>
      </x:c>
      <x:c r="C1764" t="str">
        <x:v>Salaried</x:v>
      </x:c>
      <x:c r="D1764" t="str">
        <x:v>Group A</x:v>
      </x:c>
      <x:c r="E1764" s="26" t="n">
        <x:v>5155.71</x:v>
      </x:c>
      <x:c r="F1764" t="n">
        <x:v>1</x:v>
      </x:c>
      <x:c r="G1764" s="25" t="n">
        <x:v>0.328159</x:v>
      </x:c>
      <x:c r="H1764" t="n">
        <x:f>IF(G1764&lt;$B$6,1,0)</x:f>
        <x:v>0</x:v>
      </x:c>
      <x:c r="I1764" s="26" t="n">
        <x:f>H1764*IF(F1764=0,E1764*$B$7,-E1764*$B$8)</x:f>
        <x:v>0</x:v>
      </x:c>
    </x:row>
    <x:row r="1765">
      <x:c r="A1765" t="n">
        <x:v>3395</x:v>
      </x:c>
      <x:c r="B1765" t="str">
        <x:v>2024-11</x:v>
      </x:c>
      <x:c r="C1765" t="str">
        <x:v>Salaried</x:v>
      </x:c>
      <x:c r="D1765" t="str">
        <x:v>Group A</x:v>
      </x:c>
      <x:c r="E1765" s="26" t="n">
        <x:v>8910.25</x:v>
      </x:c>
      <x:c r="F1765" t="n">
        <x:v>0</x:v>
      </x:c>
      <x:c r="G1765" s="25" t="n">
        <x:v>0.148691</x:v>
      </x:c>
      <x:c r="H1765" t="n">
        <x:f>IF(G1765&lt;$B$6,1,0)</x:f>
        <x:v>1</x:v>
      </x:c>
      <x:c r="I1765" s="26" t="n">
        <x:f>H1765*IF(F1765=0,E1765*$B$7,-E1765*$B$8)</x:f>
        <x:v>1069.23</x:v>
      </x:c>
    </x:row>
    <x:row r="1766">
      <x:c r="A1766" t="n">
        <x:v>3413</x:v>
      </x:c>
      <x:c r="B1766" t="str">
        <x:v>2024-11</x:v>
      </x:c>
      <x:c r="C1766" t="str">
        <x:v>Self employed</x:v>
      </x:c>
      <x:c r="D1766" t="str">
        <x:v>Group B</x:v>
      </x:c>
      <x:c r="E1766" s="26" t="n">
        <x:v>11540</x:v>
      </x:c>
      <x:c r="F1766" t="n">
        <x:v>0</x:v>
      </x:c>
      <x:c r="G1766" s="25" t="n">
        <x:v>0.132988</x:v>
      </x:c>
      <x:c r="H1766" t="n">
        <x:f>IF(G1766&lt;$B$6,1,0)</x:f>
        <x:v>1</x:v>
      </x:c>
      <x:c r="I1766" s="26" t="n">
        <x:f>H1766*IF(F1766=0,E1766*$B$7,-E1766*$B$8)</x:f>
        <x:v>1384.8</x:v>
      </x:c>
    </x:row>
    <x:row r="1767">
      <x:c r="A1767" t="n">
        <x:v>3427</x:v>
      </x:c>
      <x:c r="B1767" t="str">
        <x:v>2024-11</x:v>
      </x:c>
      <x:c r="C1767" t="str">
        <x:v>Contract</x:v>
      </x:c>
      <x:c r="D1767" t="str">
        <x:v>Group B</x:v>
      </x:c>
      <x:c r="E1767" s="26" t="n">
        <x:v>10414.18</x:v>
      </x:c>
      <x:c r="F1767" t="n">
        <x:v>0</x:v>
      </x:c>
      <x:c r="G1767" s="25" t="n">
        <x:v>0.105097</x:v>
      </x:c>
      <x:c r="H1767" t="n">
        <x:f>IF(G1767&lt;$B$6,1,0)</x:f>
        <x:v>1</x:v>
      </x:c>
      <x:c r="I1767" s="26" t="n">
        <x:f>H1767*IF(F1767=0,E1767*$B$7,-E1767*$B$8)</x:f>
        <x:v>1249.7016</x:v>
      </x:c>
    </x:row>
    <x:row r="1768">
      <x:c r="A1768" t="n">
        <x:v>3429</x:v>
      </x:c>
      <x:c r="B1768" t="str">
        <x:v>2024-11</x:v>
      </x:c>
      <x:c r="C1768" t="str">
        <x:v>Salaried</x:v>
      </x:c>
      <x:c r="D1768" t="str">
        <x:v>Group A</x:v>
      </x:c>
      <x:c r="E1768" s="26" t="n">
        <x:v>34253.68</x:v>
      </x:c>
      <x:c r="F1768" t="n">
        <x:v>0</x:v>
      </x:c>
      <x:c r="G1768" s="25" t="n">
        <x:v>0.261515</x:v>
      </x:c>
      <x:c r="H1768" t="n">
        <x:f>IF(G1768&lt;$B$6,1,0)</x:f>
        <x:v>0</x:v>
      </x:c>
      <x:c r="I1768" s="26" t="n">
        <x:f>H1768*IF(F1768=0,E1768*$B$7,-E1768*$B$8)</x:f>
        <x:v>0</x:v>
      </x:c>
    </x:row>
    <x:row r="1769">
      <x:c r="A1769" t="n">
        <x:v>3490</x:v>
      </x:c>
      <x:c r="B1769" t="str">
        <x:v>2024-11</x:v>
      </x:c>
      <x:c r="C1769" t="str">
        <x:v>Self employed</x:v>
      </x:c>
      <x:c r="D1769" t="str">
        <x:v>Group A</x:v>
      </x:c>
      <x:c r="E1769" s="26" t="n">
        <x:v>25951.51</x:v>
      </x:c>
      <x:c r="F1769" t="n">
        <x:v>0</x:v>
      </x:c>
      <x:c r="G1769" s="25" t="n">
        <x:v>0.025373</x:v>
      </x:c>
      <x:c r="H1769" t="n">
        <x:f>IF(G1769&lt;$B$6,1,0)</x:f>
        <x:v>1</x:v>
      </x:c>
      <x:c r="I1769" s="26" t="n">
        <x:f>H1769*IF(F1769=0,E1769*$B$7,-E1769*$B$8)</x:f>
        <x:v>3114.1811999999995</x:v>
      </x:c>
    </x:row>
    <x:row r="1770">
      <x:c r="A1770" t="n">
        <x:v>3507</x:v>
      </x:c>
      <x:c r="B1770" t="str">
        <x:v>2024-11</x:v>
      </x:c>
      <x:c r="C1770" t="str">
        <x:v>Salaried</x:v>
      </x:c>
      <x:c r="D1770" t="str">
        <x:v>Group A</x:v>
      </x:c>
      <x:c r="E1770" s="26" t="n">
        <x:v>7351.9</x:v>
      </x:c>
      <x:c r="F1770" t="n">
        <x:v>0</x:v>
      </x:c>
      <x:c r="G1770" s="25" t="n">
        <x:v>0.054303</x:v>
      </x:c>
      <x:c r="H1770" t="n">
        <x:f>IF(G1770&lt;$B$6,1,0)</x:f>
        <x:v>1</x:v>
      </x:c>
      <x:c r="I1770" s="26" t="n">
        <x:f>H1770*IF(F1770=0,E1770*$B$7,-E1770*$B$8)</x:f>
        <x:v>882.228</x:v>
      </x:c>
    </x:row>
    <x:row r="1771">
      <x:c r="A1771" t="n">
        <x:v>3508</x:v>
      </x:c>
      <x:c r="B1771" t="str">
        <x:v>2024-11</x:v>
      </x:c>
      <x:c r="C1771" t="str">
        <x:v>Salaried</x:v>
      </x:c>
      <x:c r="D1771" t="str">
        <x:v>Group B</x:v>
      </x:c>
      <x:c r="E1771" s="26" t="n">
        <x:v>11753.44</x:v>
      </x:c>
      <x:c r="F1771" t="n">
        <x:v>0</x:v>
      </x:c>
      <x:c r="G1771" s="25" t="n">
        <x:v>0.142527</x:v>
      </x:c>
      <x:c r="H1771" t="n">
        <x:f>IF(G1771&lt;$B$6,1,0)</x:f>
        <x:v>1</x:v>
      </x:c>
      <x:c r="I1771" s="26" t="n">
        <x:f>H1771*IF(F1771=0,E1771*$B$7,-E1771*$B$8)</x:f>
        <x:v>1410.4128</x:v>
      </x:c>
    </x:row>
    <x:row r="1772">
      <x:c r="A1772" t="n">
        <x:v>3518</x:v>
      </x:c>
      <x:c r="B1772" t="str">
        <x:v>2024-11</x:v>
      </x:c>
      <x:c r="C1772" t="str">
        <x:v>Salaried</x:v>
      </x:c>
      <x:c r="D1772" t="str">
        <x:v>Group B</x:v>
      </x:c>
      <x:c r="E1772" s="26" t="n">
        <x:v>29681.49</x:v>
      </x:c>
      <x:c r="F1772" t="n">
        <x:v>0</x:v>
      </x:c>
      <x:c r="G1772" s="25" t="n">
        <x:v>0.233914</x:v>
      </x:c>
      <x:c r="H1772" t="n">
        <x:f>IF(G1772&lt;$B$6,1,0)</x:f>
        <x:v>0</x:v>
      </x:c>
      <x:c r="I1772" s="26" t="n">
        <x:f>H1772*IF(F1772=0,E1772*$B$7,-E1772*$B$8)</x:f>
        <x:v>0</x:v>
      </x:c>
    </x:row>
    <x:row r="1773">
      <x:c r="A1773" t="n">
        <x:v>3587</x:v>
      </x:c>
      <x:c r="B1773" t="str">
        <x:v>2024-11</x:v>
      </x:c>
      <x:c r="C1773" t="str">
        <x:v>Salaried</x:v>
      </x:c>
      <x:c r="D1773" t="str">
        <x:v>Group B</x:v>
      </x:c>
      <x:c r="E1773" s="26" t="n">
        <x:v>8699.17</x:v>
      </x:c>
      <x:c r="F1773" t="n">
        <x:v>0</x:v>
      </x:c>
      <x:c r="G1773" s="25" t="n">
        <x:v>0.448182</x:v>
      </x:c>
      <x:c r="H1773" t="n">
        <x:f>IF(G1773&lt;$B$6,1,0)</x:f>
        <x:v>0</x:v>
      </x:c>
      <x:c r="I1773" s="26" t="n">
        <x:f>H1773*IF(F1773=0,E1773*$B$7,-E1773*$B$8)</x:f>
        <x:v>0</x:v>
      </x:c>
    </x:row>
    <x:row r="1774">
      <x:c r="A1774" t="n">
        <x:v>3621</x:v>
      </x:c>
      <x:c r="B1774" t="str">
        <x:v>2024-11</x:v>
      </x:c>
      <x:c r="C1774" t="str">
        <x:v>Salaried</x:v>
      </x:c>
      <x:c r="D1774" t="str">
        <x:v>Group A</x:v>
      </x:c>
      <x:c r="E1774" s="26" t="n">
        <x:v>28234.23</x:v>
      </x:c>
      <x:c r="F1774" t="n">
        <x:v>1</x:v>
      </x:c>
      <x:c r="G1774" s="25" t="n">
        <x:v>0.69705</x:v>
      </x:c>
      <x:c r="H1774" t="n">
        <x:f>IF(G1774&lt;$B$6,1,0)</x:f>
        <x:v>0</x:v>
      </x:c>
      <x:c r="I1774" s="26" t="n">
        <x:f>H1774*IF(F1774=0,E1774*$B$7,-E1774*$B$8)</x:f>
        <x:v>0</x:v>
      </x:c>
    </x:row>
    <x:row r="1775">
      <x:c r="A1775" t="n">
        <x:v>3640</x:v>
      </x:c>
      <x:c r="B1775" t="str">
        <x:v>2024-11</x:v>
      </x:c>
      <x:c r="C1775" t="str">
        <x:v>Contract</x:v>
      </x:c>
      <x:c r="D1775" t="str">
        <x:v>Group A</x:v>
      </x:c>
      <x:c r="E1775" s="26" t="n">
        <x:v>34877.4</x:v>
      </x:c>
      <x:c r="F1775" t="n">
        <x:v>1</x:v>
      </x:c>
      <x:c r="G1775" s="25" t="n">
        <x:v>0.356618</x:v>
      </x:c>
      <x:c r="H1775" t="n">
        <x:f>IF(G1775&lt;$B$6,1,0)</x:f>
        <x:v>0</x:v>
      </x:c>
      <x:c r="I1775" s="26" t="n">
        <x:f>H1775*IF(F1775=0,E1775*$B$7,-E1775*$B$8)</x:f>
        <x:v>0</x:v>
      </x:c>
    </x:row>
    <x:row r="1776">
      <x:c r="A1776" t="n">
        <x:v>3694</x:v>
      </x:c>
      <x:c r="B1776" t="str">
        <x:v>2024-11</x:v>
      </x:c>
      <x:c r="C1776" t="str">
        <x:v>Salaried</x:v>
      </x:c>
      <x:c r="D1776" t="str">
        <x:v>Group B</x:v>
      </x:c>
      <x:c r="E1776" s="26" t="n">
        <x:v>39962.02</x:v>
      </x:c>
      <x:c r="F1776" t="n">
        <x:v>0</x:v>
      </x:c>
      <x:c r="G1776" s="25" t="n">
        <x:v>0.416189</x:v>
      </x:c>
      <x:c r="H1776" t="n">
        <x:f>IF(G1776&lt;$B$6,1,0)</x:f>
        <x:v>0</x:v>
      </x:c>
      <x:c r="I1776" s="26" t="n">
        <x:f>H1776*IF(F1776=0,E1776*$B$7,-E1776*$B$8)</x:f>
        <x:v>0</x:v>
      </x:c>
    </x:row>
    <x:row r="1777">
      <x:c r="A1777" t="n">
        <x:v>3697</x:v>
      </x:c>
      <x:c r="B1777" t="str">
        <x:v>2024-11</x:v>
      </x:c>
      <x:c r="C1777" t="str">
        <x:v>Salaried</x:v>
      </x:c>
      <x:c r="D1777" t="str">
        <x:v>Group A</x:v>
      </x:c>
      <x:c r="E1777" s="26" t="n">
        <x:v>15914.75</x:v>
      </x:c>
      <x:c r="F1777" t="n">
        <x:v>0</x:v>
      </x:c>
      <x:c r="G1777" s="25" t="n">
        <x:v>0.101075</x:v>
      </x:c>
      <x:c r="H1777" t="n">
        <x:f>IF(G1777&lt;$B$6,1,0)</x:f>
        <x:v>1</x:v>
      </x:c>
      <x:c r="I1777" s="26" t="n">
        <x:f>H1777*IF(F1777=0,E1777*$B$7,-E1777*$B$8)</x:f>
        <x:v>1909.77</x:v>
      </x:c>
    </x:row>
    <x:row r="1778">
      <x:c r="A1778" t="n">
        <x:v>3699</x:v>
      </x:c>
      <x:c r="B1778" t="str">
        <x:v>2024-11</x:v>
      </x:c>
      <x:c r="C1778" t="str">
        <x:v>Salaried</x:v>
      </x:c>
      <x:c r="D1778" t="str">
        <x:v>Group B</x:v>
      </x:c>
      <x:c r="E1778" s="26" t="n">
        <x:v>25411.27</x:v>
      </x:c>
      <x:c r="F1778" t="n">
        <x:v>1</x:v>
      </x:c>
      <x:c r="G1778" s="25" t="n">
        <x:v>0.736958</x:v>
      </x:c>
      <x:c r="H1778" t="n">
        <x:f>IF(G1778&lt;$B$6,1,0)</x:f>
        <x:v>0</x:v>
      </x:c>
      <x:c r="I1778" s="26" t="n">
        <x:f>H1778*IF(F1778=0,E1778*$B$7,-E1778*$B$8)</x:f>
        <x:v>0</x:v>
      </x:c>
    </x:row>
    <x:row r="1779">
      <x:c r="A1779" t="n">
        <x:v>3754</x:v>
      </x:c>
      <x:c r="B1779" t="str">
        <x:v>2024-11</x:v>
      </x:c>
      <x:c r="C1779" t="str">
        <x:v>Salaried</x:v>
      </x:c>
      <x:c r="D1779" t="str">
        <x:v>Group B</x:v>
      </x:c>
      <x:c r="E1779" s="26" t="n">
        <x:v>14064.85</x:v>
      </x:c>
      <x:c r="F1779" t="n">
        <x:v>0</x:v>
      </x:c>
      <x:c r="G1779" s="25" t="n">
        <x:v>0.037319</x:v>
      </x:c>
      <x:c r="H1779" t="n">
        <x:f>IF(G1779&lt;$B$6,1,0)</x:f>
        <x:v>1</x:v>
      </x:c>
      <x:c r="I1779" s="26" t="n">
        <x:f>H1779*IF(F1779=0,E1779*$B$7,-E1779*$B$8)</x:f>
        <x:v>1687.782</x:v>
      </x:c>
    </x:row>
    <x:row r="1780">
      <x:c r="A1780" t="n">
        <x:v>3755</x:v>
      </x:c>
      <x:c r="B1780" t="str">
        <x:v>2024-11</x:v>
      </x:c>
      <x:c r="C1780" t="str">
        <x:v>Salaried</x:v>
      </x:c>
      <x:c r="D1780" t="str">
        <x:v>Group B</x:v>
      </x:c>
      <x:c r="E1780" s="26" t="n">
        <x:v>16943.9</x:v>
      </x:c>
      <x:c r="F1780" t="n">
        <x:v>0</x:v>
      </x:c>
      <x:c r="G1780" s="25" t="n">
        <x:v>0.064985</x:v>
      </x:c>
      <x:c r="H1780" t="n">
        <x:f>IF(G1780&lt;$B$6,1,0)</x:f>
        <x:v>1</x:v>
      </x:c>
      <x:c r="I1780" s="26" t="n">
        <x:f>H1780*IF(F1780=0,E1780*$B$7,-E1780*$B$8)</x:f>
        <x:v>2033.268</x:v>
      </x:c>
    </x:row>
    <x:row r="1781">
      <x:c r="A1781" t="n">
        <x:v>3765</x:v>
      </x:c>
      <x:c r="B1781" t="str">
        <x:v>2024-11</x:v>
      </x:c>
      <x:c r="C1781" t="str">
        <x:v>Self employed</x:v>
      </x:c>
      <x:c r="D1781" t="str">
        <x:v>Group B</x:v>
      </x:c>
      <x:c r="E1781" s="26" t="n">
        <x:v>14286.84</x:v>
      </x:c>
      <x:c r="F1781" t="n">
        <x:v>1</x:v>
      </x:c>
      <x:c r="G1781" s="25" t="n">
        <x:v>0.198754</x:v>
      </x:c>
      <x:c r="H1781" t="n">
        <x:f>IF(G1781&lt;$B$6,1,0)</x:f>
        <x:v>0</x:v>
      </x:c>
      <x:c r="I1781" s="26" t="n">
        <x:f>H1781*IF(F1781=0,E1781*$B$7,-E1781*$B$8)</x:f>
        <x:v>0</x:v>
      </x:c>
    </x:row>
    <x:row r="1782">
      <x:c r="A1782" t="n">
        <x:v>3773</x:v>
      </x:c>
      <x:c r="B1782" t="str">
        <x:v>2024-11</x:v>
      </x:c>
      <x:c r="C1782" t="str">
        <x:v>Contract</x:v>
      </x:c>
      <x:c r="D1782" t="str">
        <x:v>Group A</x:v>
      </x:c>
      <x:c r="E1782" s="26" t="n">
        <x:v>32747.09</x:v>
      </x:c>
      <x:c r="F1782" t="n">
        <x:v>0</x:v>
      </x:c>
      <x:c r="G1782" s="25" t="n">
        <x:v>0.074246</x:v>
      </x:c>
      <x:c r="H1782" t="n">
        <x:f>IF(G1782&lt;$B$6,1,0)</x:f>
        <x:v>1</x:v>
      </x:c>
      <x:c r="I1782" s="26" t="n">
        <x:f>H1782*IF(F1782=0,E1782*$B$7,-E1782*$B$8)</x:f>
        <x:v>3929.6508</x:v>
      </x:c>
    </x:row>
    <x:row r="1783">
      <x:c r="A1783" t="n">
        <x:v>3796</x:v>
      </x:c>
      <x:c r="B1783" t="str">
        <x:v>2024-11</x:v>
      </x:c>
      <x:c r="C1783" t="str">
        <x:v>Salaried</x:v>
      </x:c>
      <x:c r="D1783" t="str">
        <x:v>Group B</x:v>
      </x:c>
      <x:c r="E1783" s="26" t="n">
        <x:v>16795.08</x:v>
      </x:c>
      <x:c r="F1783" t="n">
        <x:v>1</x:v>
      </x:c>
      <x:c r="G1783" s="25" t="n">
        <x:v>0.460116</x:v>
      </x:c>
      <x:c r="H1783" t="n">
        <x:f>IF(G1783&lt;$B$6,1,0)</x:f>
        <x:v>0</x:v>
      </x:c>
      <x:c r="I1783" s="26" t="n">
        <x:f>H1783*IF(F1783=0,E1783*$B$7,-E1783*$B$8)</x:f>
        <x:v>0</x:v>
      </x:c>
    </x:row>
    <x:row r="1784">
      <x:c r="A1784" t="n">
        <x:v>3822</x:v>
      </x:c>
      <x:c r="B1784" t="str">
        <x:v>2024-11</x:v>
      </x:c>
      <x:c r="C1784" t="str">
        <x:v>Salaried</x:v>
      </x:c>
      <x:c r="D1784" t="str">
        <x:v>Group A</x:v>
      </x:c>
      <x:c r="E1784" s="26" t="n">
        <x:v>71291.24</x:v>
      </x:c>
      <x:c r="F1784" t="n">
        <x:v>1</x:v>
      </x:c>
      <x:c r="G1784" s="25" t="n">
        <x:v>0.713346</x:v>
      </x:c>
      <x:c r="H1784" t="n">
        <x:f>IF(G1784&lt;$B$6,1,0)</x:f>
        <x:v>0</x:v>
      </x:c>
      <x:c r="I1784" s="26" t="n">
        <x:f>H1784*IF(F1784=0,E1784*$B$7,-E1784*$B$8)</x:f>
        <x:v>0</x:v>
      </x:c>
    </x:row>
    <x:row r="1785">
      <x:c r="A1785" t="n">
        <x:v>3867</x:v>
      </x:c>
      <x:c r="B1785" t="str">
        <x:v>2024-11</x:v>
      </x:c>
      <x:c r="C1785" t="str">
        <x:v>Salaried</x:v>
      </x:c>
      <x:c r="D1785" t="str">
        <x:v>Group A</x:v>
      </x:c>
      <x:c r="E1785" s="26" t="n">
        <x:v>14777.81</x:v>
      </x:c>
      <x:c r="F1785" t="n">
        <x:v>0</x:v>
      </x:c>
      <x:c r="G1785" s="25" t="n">
        <x:v>0.025003</x:v>
      </x:c>
      <x:c r="H1785" t="n">
        <x:f>IF(G1785&lt;$B$6,1,0)</x:f>
        <x:v>1</x:v>
      </x:c>
      <x:c r="I1785" s="26" t="n">
        <x:f>H1785*IF(F1785=0,E1785*$B$7,-E1785*$B$8)</x:f>
        <x:v>1773.3372</x:v>
      </x:c>
    </x:row>
    <x:row r="1786">
      <x:c r="A1786" t="n">
        <x:v>3889</x:v>
      </x:c>
      <x:c r="B1786" t="str">
        <x:v>2024-11</x:v>
      </x:c>
      <x:c r="C1786" t="str">
        <x:v>Contract</x:v>
      </x:c>
      <x:c r="D1786" t="str">
        <x:v>Group A</x:v>
      </x:c>
      <x:c r="E1786" s="26" t="n">
        <x:v>32421.2</x:v>
      </x:c>
      <x:c r="F1786" t="n">
        <x:v>0</x:v>
      </x:c>
      <x:c r="G1786" s="25" t="n">
        <x:v>0.492234</x:v>
      </x:c>
      <x:c r="H1786" t="n">
        <x:f>IF(G1786&lt;$B$6,1,0)</x:f>
        <x:v>0</x:v>
      </x:c>
      <x:c r="I1786" s="26" t="n">
        <x:f>H1786*IF(F1786=0,E1786*$B$7,-E1786*$B$8)</x:f>
        <x:v>0</x:v>
      </x:c>
    </x:row>
    <x:row r="1787">
      <x:c r="A1787" t="n">
        <x:v>3907</x:v>
      </x:c>
      <x:c r="B1787" t="str">
        <x:v>2024-11</x:v>
      </x:c>
      <x:c r="C1787" t="str">
        <x:v>Salaried</x:v>
      </x:c>
      <x:c r="D1787" t="str">
        <x:v>Group A</x:v>
      </x:c>
      <x:c r="E1787" s="26" t="n">
        <x:v>10871.35</x:v>
      </x:c>
      <x:c r="F1787" t="n">
        <x:v>0</x:v>
      </x:c>
      <x:c r="G1787" s="25" t="n">
        <x:v>0.2757</x:v>
      </x:c>
      <x:c r="H1787" t="n">
        <x:f>IF(G1787&lt;$B$6,1,0)</x:f>
        <x:v>0</x:v>
      </x:c>
      <x:c r="I1787" s="26" t="n">
        <x:f>H1787*IF(F1787=0,E1787*$B$7,-E1787*$B$8)</x:f>
        <x:v>0</x:v>
      </x:c>
    </x:row>
    <x:row r="1788">
      <x:c r="A1788" t="n">
        <x:v>3918</x:v>
      </x:c>
      <x:c r="B1788" t="str">
        <x:v>2024-11</x:v>
      </x:c>
      <x:c r="C1788" t="str">
        <x:v>Salaried</x:v>
      </x:c>
      <x:c r="D1788" t="str">
        <x:v>Group B</x:v>
      </x:c>
      <x:c r="E1788" s="26" t="n">
        <x:v>8678.65</x:v>
      </x:c>
      <x:c r="F1788" t="n">
        <x:v>1</x:v>
      </x:c>
      <x:c r="G1788" s="25" t="n">
        <x:v>0.222837</x:v>
      </x:c>
      <x:c r="H1788" t="n">
        <x:f>IF(G1788&lt;$B$6,1,0)</x:f>
        <x:v>0</x:v>
      </x:c>
      <x:c r="I1788" s="26" t="n">
        <x:f>H1788*IF(F1788=0,E1788*$B$7,-E1788*$B$8)</x:f>
        <x:v>0</x:v>
      </x:c>
    </x:row>
    <x:row r="1789">
      <x:c r="A1789" t="n">
        <x:v>3931</x:v>
      </x:c>
      <x:c r="B1789" t="str">
        <x:v>2024-11</x:v>
      </x:c>
      <x:c r="C1789" t="str">
        <x:v>Salaried</x:v>
      </x:c>
      <x:c r="D1789" t="str">
        <x:v>Group B</x:v>
      </x:c>
      <x:c r="E1789" s="26" t="n">
        <x:v>10975.68</x:v>
      </x:c>
      <x:c r="F1789" t="n">
        <x:v>0</x:v>
      </x:c>
      <x:c r="G1789" s="25" t="n">
        <x:v>0.049179</x:v>
      </x:c>
      <x:c r="H1789" t="n">
        <x:f>IF(G1789&lt;$B$6,1,0)</x:f>
        <x:v>1</x:v>
      </x:c>
      <x:c r="I1789" s="26" t="n">
        <x:f>H1789*IF(F1789=0,E1789*$B$7,-E1789*$B$8)</x:f>
        <x:v>1317.0816</x:v>
      </x:c>
    </x:row>
    <x:row r="1790">
      <x:c r="A1790" t="n">
        <x:v>3952</x:v>
      </x:c>
      <x:c r="B1790" t="str">
        <x:v>2024-11</x:v>
      </x:c>
      <x:c r="C1790" t="str">
        <x:v>Salaried</x:v>
      </x:c>
      <x:c r="D1790" t="str">
        <x:v>Group A</x:v>
      </x:c>
      <x:c r="E1790" s="26" t="n">
        <x:v>14204.24</x:v>
      </x:c>
      <x:c r="F1790" t="n">
        <x:v>0</x:v>
      </x:c>
      <x:c r="G1790" s="25" t="n">
        <x:v>0.092361</x:v>
      </x:c>
      <x:c r="H1790" t="n">
        <x:f>IF(G1790&lt;$B$6,1,0)</x:f>
        <x:v>1</x:v>
      </x:c>
      <x:c r="I1790" s="26" t="n">
        <x:f>H1790*IF(F1790=0,E1790*$B$7,-E1790*$B$8)</x:f>
        <x:v>1704.5087999999998</x:v>
      </x:c>
    </x:row>
    <x:row r="1791">
      <x:c r="A1791" t="n">
        <x:v>3960</x:v>
      </x:c>
      <x:c r="B1791" t="str">
        <x:v>2024-11</x:v>
      </x:c>
      <x:c r="C1791" t="str">
        <x:v>Salaried</x:v>
      </x:c>
      <x:c r="D1791" t="str">
        <x:v>Group B</x:v>
      </x:c>
      <x:c r="E1791" s="26" t="n">
        <x:v>8998.96</x:v>
      </x:c>
      <x:c r="F1791" t="n">
        <x:v>1</x:v>
      </x:c>
      <x:c r="G1791" s="25" t="n">
        <x:v>0.373244</x:v>
      </x:c>
      <x:c r="H1791" t="n">
        <x:f>IF(G1791&lt;$B$6,1,0)</x:f>
        <x:v>0</x:v>
      </x:c>
      <x:c r="I1791" s="26" t="n">
        <x:f>H1791*IF(F1791=0,E1791*$B$7,-E1791*$B$8)</x:f>
        <x:v>0</x:v>
      </x:c>
    </x:row>
    <x:row r="1792">
      <x:c r="A1792" t="n">
        <x:v>4019</x:v>
      </x:c>
      <x:c r="B1792" t="str">
        <x:v>2024-11</x:v>
      </x:c>
      <x:c r="C1792" t="str">
        <x:v>Salaried</x:v>
      </x:c>
      <x:c r="D1792" t="str">
        <x:v>Group A</x:v>
      </x:c>
      <x:c r="E1792" s="26" t="n">
        <x:v>40039.2</x:v>
      </x:c>
      <x:c r="F1792" t="n">
        <x:v>0</x:v>
      </x:c>
      <x:c r="G1792" s="25" t="n">
        <x:v>0.111399</x:v>
      </x:c>
      <x:c r="H1792" t="n">
        <x:f>IF(G1792&lt;$B$6,1,0)</x:f>
        <x:v>1</x:v>
      </x:c>
      <x:c r="I1792" s="26" t="n">
        <x:f>H1792*IF(F1792=0,E1792*$B$7,-E1792*$B$8)</x:f>
        <x:v>4804.704</x:v>
      </x:c>
    </x:row>
    <x:row r="1793">
      <x:c r="A1793" t="n">
        <x:v>4070</x:v>
      </x:c>
      <x:c r="B1793" t="str">
        <x:v>2024-11</x:v>
      </x:c>
      <x:c r="C1793" t="str">
        <x:v>Salaried</x:v>
      </x:c>
      <x:c r="D1793" t="str">
        <x:v>Group B</x:v>
      </x:c>
      <x:c r="E1793" s="26" t="n">
        <x:v>8219.1</x:v>
      </x:c>
      <x:c r="F1793" t="n">
        <x:v>1</x:v>
      </x:c>
      <x:c r="G1793" s="25" t="n">
        <x:v>0.408578</x:v>
      </x:c>
      <x:c r="H1793" t="n">
        <x:f>IF(G1793&lt;$B$6,1,0)</x:f>
        <x:v>0</x:v>
      </x:c>
      <x:c r="I1793" s="26" t="n">
        <x:f>H1793*IF(F1793=0,E1793*$B$7,-E1793*$B$8)</x:f>
        <x:v>0</x:v>
      </x:c>
    </x:row>
    <x:row r="1794">
      <x:c r="A1794" t="n">
        <x:v>4089</x:v>
      </x:c>
      <x:c r="B1794" t="str">
        <x:v>2024-11</x:v>
      </x:c>
      <x:c r="C1794" t="str">
        <x:v>Salaried</x:v>
      </x:c>
      <x:c r="D1794" t="str">
        <x:v>Group A</x:v>
      </x:c>
      <x:c r="E1794" s="26" t="n">
        <x:v>23437.89</x:v>
      </x:c>
      <x:c r="F1794" t="n">
        <x:v>0</x:v>
      </x:c>
      <x:c r="G1794" s="25" t="n">
        <x:v>0.048427</x:v>
      </x:c>
      <x:c r="H1794" t="n">
        <x:f>IF(G1794&lt;$B$6,1,0)</x:f>
        <x:v>1</x:v>
      </x:c>
      <x:c r="I1794" s="26" t="n">
        <x:f>H1794*IF(F1794=0,E1794*$B$7,-E1794*$B$8)</x:f>
        <x:v>2812.5467999999996</x:v>
      </x:c>
    </x:row>
    <x:row r="1795">
      <x:c r="A1795" t="n">
        <x:v>4100</x:v>
      </x:c>
      <x:c r="B1795" t="str">
        <x:v>2024-11</x:v>
      </x:c>
      <x:c r="C1795" t="str">
        <x:v>Salaried</x:v>
      </x:c>
      <x:c r="D1795" t="str">
        <x:v>Group A</x:v>
      </x:c>
      <x:c r="E1795" s="26" t="n">
        <x:v>14251.21</x:v>
      </x:c>
      <x:c r="F1795" t="n">
        <x:v>0</x:v>
      </x:c>
      <x:c r="G1795" s="25" t="n">
        <x:v>0.347624</x:v>
      </x:c>
      <x:c r="H1795" t="n">
        <x:f>IF(G1795&lt;$B$6,1,0)</x:f>
        <x:v>0</x:v>
      </x:c>
      <x:c r="I1795" s="26" t="n">
        <x:f>H1795*IF(F1795=0,E1795*$B$7,-E1795*$B$8)</x:f>
        <x:v>0</x:v>
      </x:c>
    </x:row>
    <x:row r="1796">
      <x:c r="A1796" t="n">
        <x:v>4125</x:v>
      </x:c>
      <x:c r="B1796" t="str">
        <x:v>2024-11</x:v>
      </x:c>
      <x:c r="C1796" t="str">
        <x:v>Salaried</x:v>
      </x:c>
      <x:c r="D1796" t="str">
        <x:v>Group B</x:v>
      </x:c>
      <x:c r="E1796" s="26" t="n">
        <x:v>9648.99</x:v>
      </x:c>
      <x:c r="F1796" t="n">
        <x:v>0</x:v>
      </x:c>
      <x:c r="G1796" s="25" t="n">
        <x:v>0.300754</x:v>
      </x:c>
      <x:c r="H1796" t="n">
        <x:f>IF(G1796&lt;$B$6,1,0)</x:f>
        <x:v>0</x:v>
      </x:c>
      <x:c r="I1796" s="26" t="n">
        <x:f>H1796*IF(F1796=0,E1796*$B$7,-E1796*$B$8)</x:f>
        <x:v>0</x:v>
      </x:c>
    </x:row>
    <x:row r="1797">
      <x:c r="A1797" t="n">
        <x:v>4167</x:v>
      </x:c>
      <x:c r="B1797" t="str">
        <x:v>2024-11</x:v>
      </x:c>
      <x:c r="C1797" t="str">
        <x:v>Self employed</x:v>
      </x:c>
      <x:c r="D1797" t="str">
        <x:v>Group A</x:v>
      </x:c>
      <x:c r="E1797" s="26" t="n">
        <x:v>11155.93</x:v>
      </x:c>
      <x:c r="F1797" t="n">
        <x:v>0</x:v>
      </x:c>
      <x:c r="G1797" s="25" t="n">
        <x:v>0.434988</x:v>
      </x:c>
      <x:c r="H1797" t="n">
        <x:f>IF(G1797&lt;$B$6,1,0)</x:f>
        <x:v>0</x:v>
      </x:c>
      <x:c r="I1797" s="26" t="n">
        <x:f>H1797*IF(F1797=0,E1797*$B$7,-E1797*$B$8)</x:f>
        <x:v>0</x:v>
      </x:c>
    </x:row>
    <x:row r="1798">
      <x:c r="A1798" t="n">
        <x:v>4188</x:v>
      </x:c>
      <x:c r="B1798" t="str">
        <x:v>2024-11</x:v>
      </x:c>
      <x:c r="C1798" t="str">
        <x:v>Salaried</x:v>
      </x:c>
      <x:c r="D1798" t="str">
        <x:v>Group A</x:v>
      </x:c>
      <x:c r="E1798" s="26" t="n">
        <x:v>48994.15</x:v>
      </x:c>
      <x:c r="F1798" t="n">
        <x:v>0</x:v>
      </x:c>
      <x:c r="G1798" s="25" t="n">
        <x:v>0.09045</x:v>
      </x:c>
      <x:c r="H1798" t="n">
        <x:f>IF(G1798&lt;$B$6,1,0)</x:f>
        <x:v>1</x:v>
      </x:c>
      <x:c r="I1798" s="26" t="n">
        <x:f>H1798*IF(F1798=0,E1798*$B$7,-E1798*$B$8)</x:f>
        <x:v>5879.298</x:v>
      </x:c>
    </x:row>
    <x:row r="1799">
      <x:c r="A1799" t="n">
        <x:v>4193</x:v>
      </x:c>
      <x:c r="B1799" t="str">
        <x:v>2024-11</x:v>
      </x:c>
      <x:c r="C1799" t="str">
        <x:v>Salaried</x:v>
      </x:c>
      <x:c r="D1799" t="str">
        <x:v>Group A</x:v>
      </x:c>
      <x:c r="E1799" s="26" t="n">
        <x:v>20833.59</x:v>
      </x:c>
      <x:c r="F1799" t="n">
        <x:v>0</x:v>
      </x:c>
      <x:c r="G1799" s="25" t="n">
        <x:v>0.09655</x:v>
      </x:c>
      <x:c r="H1799" t="n">
        <x:f>IF(G1799&lt;$B$6,1,0)</x:f>
        <x:v>1</x:v>
      </x:c>
      <x:c r="I1799" s="26" t="n">
        <x:f>H1799*IF(F1799=0,E1799*$B$7,-E1799*$B$8)</x:f>
        <x:v>2500.0308</x:v>
      </x:c>
    </x:row>
    <x:row r="1800">
      <x:c r="A1800" t="n">
        <x:v>4252</x:v>
      </x:c>
      <x:c r="B1800" t="str">
        <x:v>2024-11</x:v>
      </x:c>
      <x:c r="C1800" t="str">
        <x:v>Salaried</x:v>
      </x:c>
      <x:c r="D1800" t="str">
        <x:v>Group B</x:v>
      </x:c>
      <x:c r="E1800" s="26" t="n">
        <x:v>5234.1</x:v>
      </x:c>
      <x:c r="F1800" t="n">
        <x:v>0</x:v>
      </x:c>
      <x:c r="G1800" s="25" t="n">
        <x:v>0.09215</x:v>
      </x:c>
      <x:c r="H1800" t="n">
        <x:f>IF(G1800&lt;$B$6,1,0)</x:f>
        <x:v>1</x:v>
      </x:c>
      <x:c r="I1800" s="26" t="n">
        <x:f>H1800*IF(F1800=0,E1800*$B$7,-E1800*$B$8)</x:f>
        <x:v>628.092</x:v>
      </x:c>
    </x:row>
    <x:row r="1801">
      <x:c r="A1801" t="n">
        <x:v>4268</x:v>
      </x:c>
      <x:c r="B1801" t="str">
        <x:v>2024-11</x:v>
      </x:c>
      <x:c r="C1801" t="str">
        <x:v>Self employed</x:v>
      </x:c>
      <x:c r="D1801" t="str">
        <x:v>Group B</x:v>
      </x:c>
      <x:c r="E1801" s="26" t="n">
        <x:v>28584.18</x:v>
      </x:c>
      <x:c r="F1801" t="n">
        <x:v>0</x:v>
      </x:c>
      <x:c r="G1801" s="25" t="n">
        <x:v>0.043527</x:v>
      </x:c>
      <x:c r="H1801" t="n">
        <x:f>IF(G1801&lt;$B$6,1,0)</x:f>
        <x:v>1</x:v>
      </x:c>
      <x:c r="I1801" s="26" t="n">
        <x:f>H1801*IF(F1801=0,E1801*$B$7,-E1801*$B$8)</x:f>
        <x:v>3430.1016</x:v>
      </x:c>
    </x:row>
    <x:row r="1802">
      <x:c r="A1802" t="n">
        <x:v>4273</x:v>
      </x:c>
      <x:c r="B1802" t="str">
        <x:v>2024-11</x:v>
      </x:c>
      <x:c r="C1802" t="str">
        <x:v>Self employed</x:v>
      </x:c>
      <x:c r="D1802" t="str">
        <x:v>Group A</x:v>
      </x:c>
      <x:c r="E1802" s="26" t="n">
        <x:v>30814.52</x:v>
      </x:c>
      <x:c r="F1802" t="n">
        <x:v>1</x:v>
      </x:c>
      <x:c r="G1802" s="25" t="n">
        <x:v>0.195578</x:v>
      </x:c>
      <x:c r="H1802" t="n">
        <x:f>IF(G1802&lt;$B$6,1,0)</x:f>
        <x:v>0</x:v>
      </x:c>
      <x:c r="I1802" s="26" t="n">
        <x:f>H1802*IF(F1802=0,E1802*$B$7,-E1802*$B$8)</x:f>
        <x:v>0</x:v>
      </x:c>
    </x:row>
    <x:row r="1803">
      <x:c r="A1803" t="n">
        <x:v>4330</x:v>
      </x:c>
      <x:c r="B1803" t="str">
        <x:v>2024-11</x:v>
      </x:c>
      <x:c r="C1803" t="str">
        <x:v>Self employed</x:v>
      </x:c>
      <x:c r="D1803" t="str">
        <x:v>Group A</x:v>
      </x:c>
      <x:c r="E1803" s="26" t="n">
        <x:v>21540.62</x:v>
      </x:c>
      <x:c r="F1803" t="n">
        <x:v>0</x:v>
      </x:c>
      <x:c r="G1803" s="25" t="n">
        <x:v>0.447157</x:v>
      </x:c>
      <x:c r="H1803" t="n">
        <x:f>IF(G1803&lt;$B$6,1,0)</x:f>
        <x:v>0</x:v>
      </x:c>
      <x:c r="I1803" s="26" t="n">
        <x:f>H1803*IF(F1803=0,E1803*$B$7,-E1803*$B$8)</x:f>
        <x:v>0</x:v>
      </x:c>
    </x:row>
    <x:row r="1804">
      <x:c r="A1804" t="n">
        <x:v>4383</x:v>
      </x:c>
      <x:c r="B1804" t="str">
        <x:v>2024-11</x:v>
      </x:c>
      <x:c r="C1804" t="str">
        <x:v>Salaried</x:v>
      </x:c>
      <x:c r="D1804" t="str">
        <x:v>Group A</x:v>
      </x:c>
      <x:c r="E1804" s="26" t="n">
        <x:v>4086.11</x:v>
      </x:c>
      <x:c r="F1804" t="n">
        <x:v>0</x:v>
      </x:c>
      <x:c r="G1804" s="25" t="n">
        <x:v>0.145646</x:v>
      </x:c>
      <x:c r="H1804" t="n">
        <x:f>IF(G1804&lt;$B$6,1,0)</x:f>
        <x:v>1</x:v>
      </x:c>
      <x:c r="I1804" s="26" t="n">
        <x:f>H1804*IF(F1804=0,E1804*$B$7,-E1804*$B$8)</x:f>
        <x:v>490.3332</x:v>
      </x:c>
    </x:row>
    <x:row r="1805">
      <x:c r="A1805" t="n">
        <x:v>4410</x:v>
      </x:c>
      <x:c r="B1805" t="str">
        <x:v>2024-11</x:v>
      </x:c>
      <x:c r="C1805" t="str">
        <x:v>Self employed</x:v>
      </x:c>
      <x:c r="D1805" t="str">
        <x:v>Group B</x:v>
      </x:c>
      <x:c r="E1805" s="26" t="n">
        <x:v>14119.03</x:v>
      </x:c>
      <x:c r="F1805" t="n">
        <x:v>1</x:v>
      </x:c>
      <x:c r="G1805" s="25" t="n">
        <x:v>0.319825</x:v>
      </x:c>
      <x:c r="H1805" t="n">
        <x:f>IF(G1805&lt;$B$6,1,0)</x:f>
        <x:v>0</x:v>
      </x:c>
      <x:c r="I1805" s="26" t="n">
        <x:f>H1805*IF(F1805=0,E1805*$B$7,-E1805*$B$8)</x:f>
        <x:v>0</x:v>
      </x:c>
    </x:row>
    <x:row r="1806">
      <x:c r="A1806" t="n">
        <x:v>4425</x:v>
      </x:c>
      <x:c r="B1806" t="str">
        <x:v>2024-11</x:v>
      </x:c>
      <x:c r="C1806" t="str">
        <x:v>Salaried</x:v>
      </x:c>
      <x:c r="D1806" t="str">
        <x:v>Group A</x:v>
      </x:c>
      <x:c r="E1806" s="26" t="n">
        <x:v>9522.97</x:v>
      </x:c>
      <x:c r="F1806" t="n">
        <x:v>1</x:v>
      </x:c>
      <x:c r="G1806" s="25" t="n">
        <x:v>0.277113</x:v>
      </x:c>
      <x:c r="H1806" t="n">
        <x:f>IF(G1806&lt;$B$6,1,0)</x:f>
        <x:v>0</x:v>
      </x:c>
      <x:c r="I1806" s="26" t="n">
        <x:f>H1806*IF(F1806=0,E1806*$B$7,-E1806*$B$8)</x:f>
        <x:v>0</x:v>
      </x:c>
    </x:row>
    <x:row r="1807">
      <x:c r="A1807" t="n">
        <x:v>4460</x:v>
      </x:c>
      <x:c r="B1807" t="str">
        <x:v>2024-11</x:v>
      </x:c>
      <x:c r="C1807" t="str">
        <x:v>Salaried</x:v>
      </x:c>
      <x:c r="D1807" t="str">
        <x:v>Group B</x:v>
      </x:c>
      <x:c r="E1807" s="26" t="n">
        <x:v>9085.16</x:v>
      </x:c>
      <x:c r="F1807" t="n">
        <x:v>0</x:v>
      </x:c>
      <x:c r="G1807" s="25" t="n">
        <x:v>0.184989</x:v>
      </x:c>
      <x:c r="H1807" t="n">
        <x:f>IF(G1807&lt;$B$6,1,0)</x:f>
        <x:v>0</x:v>
      </x:c>
      <x:c r="I1807" s="26" t="n">
        <x:f>H1807*IF(F1807=0,E1807*$B$7,-E1807*$B$8)</x:f>
        <x:v>0</x:v>
      </x:c>
    </x:row>
    <x:row r="1808">
      <x:c r="A1808" t="n">
        <x:v>4475</x:v>
      </x:c>
      <x:c r="B1808" t="str">
        <x:v>2024-11</x:v>
      </x:c>
      <x:c r="C1808" t="str">
        <x:v>Self employed</x:v>
      </x:c>
      <x:c r="D1808" t="str">
        <x:v>Group B</x:v>
      </x:c>
      <x:c r="E1808" s="26" t="n">
        <x:v>11051.56</x:v>
      </x:c>
      <x:c r="F1808" t="n">
        <x:v>1</x:v>
      </x:c>
      <x:c r="G1808" s="25" t="n">
        <x:v>0.233735</x:v>
      </x:c>
      <x:c r="H1808" t="n">
        <x:f>IF(G1808&lt;$B$6,1,0)</x:f>
        <x:v>0</x:v>
      </x:c>
      <x:c r="I1808" s="26" t="n">
        <x:f>H1808*IF(F1808=0,E1808*$B$7,-E1808*$B$8)</x:f>
        <x:v>0</x:v>
      </x:c>
    </x:row>
    <x:row r="1809">
      <x:c r="A1809" t="n">
        <x:v>4500</x:v>
      </x:c>
      <x:c r="B1809" t="str">
        <x:v>2024-11</x:v>
      </x:c>
      <x:c r="C1809" t="str">
        <x:v>Salaried</x:v>
      </x:c>
      <x:c r="D1809" t="str">
        <x:v>Group B</x:v>
      </x:c>
      <x:c r="E1809" s="26" t="n">
        <x:v>30629.06</x:v>
      </x:c>
      <x:c r="F1809" t="n">
        <x:v>0</x:v>
      </x:c>
      <x:c r="G1809" s="25" t="n">
        <x:v>0.05857</x:v>
      </x:c>
      <x:c r="H1809" t="n">
        <x:f>IF(G1809&lt;$B$6,1,0)</x:f>
        <x:v>1</x:v>
      </x:c>
      <x:c r="I1809" s="26" t="n">
        <x:f>H1809*IF(F1809=0,E1809*$B$7,-E1809*$B$8)</x:f>
        <x:v>3675.4872</x:v>
      </x:c>
    </x:row>
    <x:row r="1810">
      <x:c r="A1810" t="n">
        <x:v>4511</x:v>
      </x:c>
      <x:c r="B1810" t="str">
        <x:v>2024-11</x:v>
      </x:c>
      <x:c r="C1810" t="str">
        <x:v>Salaried</x:v>
      </x:c>
      <x:c r="D1810" t="str">
        <x:v>Group A</x:v>
      </x:c>
      <x:c r="E1810" s="26" t="n">
        <x:v>47732.27</x:v>
      </x:c>
      <x:c r="F1810" t="n">
        <x:v>1</x:v>
      </x:c>
      <x:c r="G1810" s="25" t="n">
        <x:v>0.158826</x:v>
      </x:c>
      <x:c r="H1810" t="n">
        <x:f>IF(G1810&lt;$B$6,1,0)</x:f>
        <x:v>1</x:v>
      </x:c>
      <x:c r="I1810" s="26" t="n">
        <x:f>H1810*IF(F1810=0,E1810*$B$7,-E1810*$B$8)</x:f>
        <x:v>-31025.9755</x:v>
      </x:c>
    </x:row>
    <x:row r="1811">
      <x:c r="A1811" t="n">
        <x:v>4563</x:v>
      </x:c>
      <x:c r="B1811" t="str">
        <x:v>2024-11</x:v>
      </x:c>
      <x:c r="C1811" t="str">
        <x:v>Salaried</x:v>
      </x:c>
      <x:c r="D1811" t="str">
        <x:v>Group B</x:v>
      </x:c>
      <x:c r="E1811" s="26" t="n">
        <x:v>11683.2</x:v>
      </x:c>
      <x:c r="F1811" t="n">
        <x:v>0</x:v>
      </x:c>
      <x:c r="G1811" s="25" t="n">
        <x:v>0.213039</x:v>
      </x:c>
      <x:c r="H1811" t="n">
        <x:f>IF(G1811&lt;$B$6,1,0)</x:f>
        <x:v>0</x:v>
      </x:c>
      <x:c r="I1811" s="26" t="n">
        <x:f>H1811*IF(F1811=0,E1811*$B$7,-E1811*$B$8)</x:f>
        <x:v>0</x:v>
      </x:c>
    </x:row>
    <x:row r="1812">
      <x:c r="A1812" t="n">
        <x:v>4576</x:v>
      </x:c>
      <x:c r="B1812" t="str">
        <x:v>2024-11</x:v>
      </x:c>
      <x:c r="C1812" t="str">
        <x:v>Contract</x:v>
      </x:c>
      <x:c r="D1812" t="str">
        <x:v>Group A</x:v>
      </x:c>
      <x:c r="E1812" s="26" t="n">
        <x:v>13490.22</x:v>
      </x:c>
      <x:c r="F1812" t="n">
        <x:v>0</x:v>
      </x:c>
      <x:c r="G1812" s="25" t="n">
        <x:v>0.07072</x:v>
      </x:c>
      <x:c r="H1812" t="n">
        <x:f>IF(G1812&lt;$B$6,1,0)</x:f>
        <x:v>1</x:v>
      </x:c>
      <x:c r="I1812" s="26" t="n">
        <x:f>H1812*IF(F1812=0,E1812*$B$7,-E1812*$B$8)</x:f>
        <x:v>1618.8264</x:v>
      </x:c>
    </x:row>
    <x:row r="1813">
      <x:c r="A1813" t="n">
        <x:v>4583</x:v>
      </x:c>
      <x:c r="B1813" t="str">
        <x:v>2024-11</x:v>
      </x:c>
      <x:c r="C1813" t="str">
        <x:v>Self employed</x:v>
      </x:c>
      <x:c r="D1813" t="str">
        <x:v>Group A</x:v>
      </x:c>
      <x:c r="E1813" s="26" t="n">
        <x:v>12620.9</x:v>
      </x:c>
      <x:c r="F1813" t="n">
        <x:v>0</x:v>
      </x:c>
      <x:c r="G1813" s="25" t="n">
        <x:v>0.580035</x:v>
      </x:c>
      <x:c r="H1813" t="n">
        <x:f>IF(G1813&lt;$B$6,1,0)</x:f>
        <x:v>0</x:v>
      </x:c>
      <x:c r="I1813" s="26" t="n">
        <x:f>H1813*IF(F1813=0,E1813*$B$7,-E1813*$B$8)</x:f>
        <x:v>0</x:v>
      </x:c>
    </x:row>
    <x:row r="1814">
      <x:c r="A1814" t="n">
        <x:v>4654</x:v>
      </x:c>
      <x:c r="B1814" t="str">
        <x:v>2024-11</x:v>
      </x:c>
      <x:c r="C1814" t="str">
        <x:v>Salaried</x:v>
      </x:c>
      <x:c r="D1814" t="str">
        <x:v>Group A</x:v>
      </x:c>
      <x:c r="E1814" s="26" t="n">
        <x:v>14580.29</x:v>
      </x:c>
      <x:c r="F1814" t="n">
        <x:v>0</x:v>
      </x:c>
      <x:c r="G1814" s="25" t="n">
        <x:v>0.135981</x:v>
      </x:c>
      <x:c r="H1814" t="n">
        <x:f>IF(G1814&lt;$B$6,1,0)</x:f>
        <x:v>1</x:v>
      </x:c>
      <x:c r="I1814" s="26" t="n">
        <x:f>H1814*IF(F1814=0,E1814*$B$7,-E1814*$B$8)</x:f>
        <x:v>1749.6348</x:v>
      </x:c>
    </x:row>
    <x:row r="1815">
      <x:c r="A1815" t="n">
        <x:v>4656</x:v>
      </x:c>
      <x:c r="B1815" t="str">
        <x:v>2024-11</x:v>
      </x:c>
      <x:c r="C1815" t="str">
        <x:v>Salaried</x:v>
      </x:c>
      <x:c r="D1815" t="str">
        <x:v>Group B</x:v>
      </x:c>
      <x:c r="E1815" s="26" t="n">
        <x:v>20845.11</x:v>
      </x:c>
      <x:c r="F1815" t="n">
        <x:v>0</x:v>
      </x:c>
      <x:c r="G1815" s="25" t="n">
        <x:v>0.072515</x:v>
      </x:c>
      <x:c r="H1815" t="n">
        <x:f>IF(G1815&lt;$B$6,1,0)</x:f>
        <x:v>1</x:v>
      </x:c>
      <x:c r="I1815" s="26" t="n">
        <x:f>H1815*IF(F1815=0,E1815*$B$7,-E1815*$B$8)</x:f>
        <x:v>2501.4132</x:v>
      </x:c>
    </x:row>
    <x:row r="1816">
      <x:c r="A1816" t="n">
        <x:v>4708</x:v>
      </x:c>
      <x:c r="B1816" t="str">
        <x:v>2024-11</x:v>
      </x:c>
      <x:c r="C1816" t="str">
        <x:v>Salaried</x:v>
      </x:c>
      <x:c r="D1816" t="str">
        <x:v>Group B</x:v>
      </x:c>
      <x:c r="E1816" s="26" t="n">
        <x:v>10446.26</x:v>
      </x:c>
      <x:c r="F1816" t="n">
        <x:v>0</x:v>
      </x:c>
      <x:c r="G1816" s="25" t="n">
        <x:v>0.195435</x:v>
      </x:c>
      <x:c r="H1816" t="n">
        <x:f>IF(G1816&lt;$B$6,1,0)</x:f>
        <x:v>0</x:v>
      </x:c>
      <x:c r="I1816" s="26" t="n">
        <x:f>H1816*IF(F1816=0,E1816*$B$7,-E1816*$B$8)</x:f>
        <x:v>0</x:v>
      </x:c>
    </x:row>
    <x:row r="1817">
      <x:c r="A1817" t="n">
        <x:v>4713</x:v>
      </x:c>
      <x:c r="B1817" t="str">
        <x:v>2024-11</x:v>
      </x:c>
      <x:c r="C1817" t="str">
        <x:v>Salaried</x:v>
      </x:c>
      <x:c r="D1817" t="str">
        <x:v>Group B</x:v>
      </x:c>
      <x:c r="E1817" s="26" t="n">
        <x:v>11609.68</x:v>
      </x:c>
      <x:c r="F1817" t="n">
        <x:v>0</x:v>
      </x:c>
      <x:c r="G1817" s="25" t="n">
        <x:v>0.050554</x:v>
      </x:c>
      <x:c r="H1817" t="n">
        <x:f>IF(G1817&lt;$B$6,1,0)</x:f>
        <x:v>1</x:v>
      </x:c>
      <x:c r="I1817" s="26" t="n">
        <x:f>H1817*IF(F1817=0,E1817*$B$7,-E1817*$B$8)</x:f>
        <x:v>1393.1616</x:v>
      </x:c>
    </x:row>
    <x:row r="1818">
      <x:c r="A1818" t="n">
        <x:v>4734</x:v>
      </x:c>
      <x:c r="B1818" t="str">
        <x:v>2024-11</x:v>
      </x:c>
      <x:c r="C1818" t="str">
        <x:v>Salaried</x:v>
      </x:c>
      <x:c r="D1818" t="str">
        <x:v>Group B</x:v>
      </x:c>
      <x:c r="E1818" s="26" t="n">
        <x:v>21581.48</x:v>
      </x:c>
      <x:c r="F1818" t="n">
        <x:v>0</x:v>
      </x:c>
      <x:c r="G1818" s="25" t="n">
        <x:v>0.0758</x:v>
      </x:c>
      <x:c r="H1818" t="n">
        <x:f>IF(G1818&lt;$B$6,1,0)</x:f>
        <x:v>1</x:v>
      </x:c>
      <x:c r="I1818" s="26" t="n">
        <x:f>H1818*IF(F1818=0,E1818*$B$7,-E1818*$B$8)</x:f>
        <x:v>2589.7776</x:v>
      </x:c>
    </x:row>
    <x:row r="1819">
      <x:c r="A1819" t="n">
        <x:v>4735</x:v>
      </x:c>
      <x:c r="B1819" t="str">
        <x:v>2024-11</x:v>
      </x:c>
      <x:c r="C1819" t="str">
        <x:v>Salaried</x:v>
      </x:c>
      <x:c r="D1819" t="str">
        <x:v>Group B</x:v>
      </x:c>
      <x:c r="E1819" s="26" t="n">
        <x:v>55208.61</x:v>
      </x:c>
      <x:c r="F1819" t="n">
        <x:v>0</x:v>
      </x:c>
      <x:c r="G1819" s="25" t="n">
        <x:v>0.155929</x:v>
      </x:c>
      <x:c r="H1819" t="n">
        <x:f>IF(G1819&lt;$B$6,1,0)</x:f>
        <x:v>1</x:v>
      </x:c>
      <x:c r="I1819" s="26" t="n">
        <x:f>H1819*IF(F1819=0,E1819*$B$7,-E1819*$B$8)</x:f>
        <x:v>6625.0332</x:v>
      </x:c>
    </x:row>
    <x:row r="1820">
      <x:c r="A1820" t="n">
        <x:v>4741</x:v>
      </x:c>
      <x:c r="B1820" t="str">
        <x:v>2024-11</x:v>
      </x:c>
      <x:c r="C1820" t="str">
        <x:v>Salaried</x:v>
      </x:c>
      <x:c r="D1820" t="str">
        <x:v>Group A</x:v>
      </x:c>
      <x:c r="E1820" s="26" t="n">
        <x:v>5112.01</x:v>
      </x:c>
      <x:c r="F1820" t="n">
        <x:v>1</x:v>
      </x:c>
      <x:c r="G1820" s="25" t="n">
        <x:v>0.355629</x:v>
      </x:c>
      <x:c r="H1820" t="n">
        <x:f>IF(G1820&lt;$B$6,1,0)</x:f>
        <x:v>0</x:v>
      </x:c>
      <x:c r="I1820" s="26" t="n">
        <x:f>H1820*IF(F1820=0,E1820*$B$7,-E1820*$B$8)</x:f>
        <x:v>0</x:v>
      </x:c>
    </x:row>
    <x:row r="1821">
      <x:c r="A1821" t="n">
        <x:v>4771</x:v>
      </x:c>
      <x:c r="B1821" t="str">
        <x:v>2024-11</x:v>
      </x:c>
      <x:c r="C1821" t="str">
        <x:v>Salaried</x:v>
      </x:c>
      <x:c r="D1821" t="str">
        <x:v>Group A</x:v>
      </x:c>
      <x:c r="E1821" s="26" t="n">
        <x:v>22512.71</x:v>
      </x:c>
      <x:c r="F1821" t="n">
        <x:v>0</x:v>
      </x:c>
      <x:c r="G1821" s="25" t="n">
        <x:v>0.303734</x:v>
      </x:c>
      <x:c r="H1821" t="n">
        <x:f>IF(G1821&lt;$B$6,1,0)</x:f>
        <x:v>0</x:v>
      </x:c>
      <x:c r="I1821" s="26" t="n">
        <x:f>H1821*IF(F1821=0,E1821*$B$7,-E1821*$B$8)</x:f>
        <x:v>0</x:v>
      </x:c>
    </x:row>
    <x:row r="1822">
      <x:c r="A1822" t="n">
        <x:v>4815</x:v>
      </x:c>
      <x:c r="B1822" t="str">
        <x:v>2024-11</x:v>
      </x:c>
      <x:c r="C1822" t="str">
        <x:v>Salaried</x:v>
      </x:c>
      <x:c r="D1822" t="str">
        <x:v>Group A</x:v>
      </x:c>
      <x:c r="E1822" s="26" t="n">
        <x:v>27620.62</x:v>
      </x:c>
      <x:c r="F1822" t="n">
        <x:v>1</x:v>
      </x:c>
      <x:c r="G1822" s="25" t="n">
        <x:v>0.152834</x:v>
      </x:c>
      <x:c r="H1822" t="n">
        <x:f>IF(G1822&lt;$B$6,1,0)</x:f>
        <x:v>1</x:v>
      </x:c>
      <x:c r="I1822" s="26" t="n">
        <x:f>H1822*IF(F1822=0,E1822*$B$7,-E1822*$B$8)</x:f>
        <x:v>-17953.403</x:v>
      </x:c>
    </x:row>
    <x:row r="1823">
      <x:c r="A1823" t="n">
        <x:v>4844</x:v>
      </x:c>
      <x:c r="B1823" t="str">
        <x:v>2024-11</x:v>
      </x:c>
      <x:c r="C1823" t="str">
        <x:v>Salaried</x:v>
      </x:c>
      <x:c r="D1823" t="str">
        <x:v>Group B</x:v>
      </x:c>
      <x:c r="E1823" s="26" t="n">
        <x:v>18322.09</x:v>
      </x:c>
      <x:c r="F1823" t="n">
        <x:v>0</x:v>
      </x:c>
      <x:c r="G1823" s="25" t="n">
        <x:v>0.257193</x:v>
      </x:c>
      <x:c r="H1823" t="n">
        <x:f>IF(G1823&lt;$B$6,1,0)</x:f>
        <x:v>0</x:v>
      </x:c>
      <x:c r="I1823" s="26" t="n">
        <x:f>H1823*IF(F1823=0,E1823*$B$7,-E1823*$B$8)</x:f>
        <x:v>0</x:v>
      </x:c>
    </x:row>
    <x:row r="1824">
      <x:c r="A1824" t="n">
        <x:v>4855</x:v>
      </x:c>
      <x:c r="B1824" t="str">
        <x:v>2024-11</x:v>
      </x:c>
      <x:c r="C1824" t="str">
        <x:v>Salaried</x:v>
      </x:c>
      <x:c r="D1824" t="str">
        <x:v>Group A</x:v>
      </x:c>
      <x:c r="E1824" s="26" t="n">
        <x:v>39536.54</x:v>
      </x:c>
      <x:c r="F1824" t="n">
        <x:v>0</x:v>
      </x:c>
      <x:c r="G1824" s="25" t="n">
        <x:v>0.267722</x:v>
      </x:c>
      <x:c r="H1824" t="n">
        <x:f>IF(G1824&lt;$B$6,1,0)</x:f>
        <x:v>0</x:v>
      </x:c>
      <x:c r="I1824" s="26" t="n">
        <x:f>H1824*IF(F1824=0,E1824*$B$7,-E1824*$B$8)</x:f>
        <x:v>0</x:v>
      </x:c>
    </x:row>
    <x:row r="1825">
      <x:c r="A1825" t="n">
        <x:v>4869</x:v>
      </x:c>
      <x:c r="B1825" t="str">
        <x:v>2024-11</x:v>
      </x:c>
      <x:c r="C1825" t="str">
        <x:v>Salaried</x:v>
      </x:c>
      <x:c r="D1825" t="str">
        <x:v>Group B</x:v>
      </x:c>
      <x:c r="E1825" s="26" t="n">
        <x:v>6851.59</x:v>
      </x:c>
      <x:c r="F1825" t="n">
        <x:v>0</x:v>
      </x:c>
      <x:c r="G1825" s="25" t="n">
        <x:v>0.095651</x:v>
      </x:c>
      <x:c r="H1825" t="n">
        <x:f>IF(G1825&lt;$B$6,1,0)</x:f>
        <x:v>1</x:v>
      </x:c>
      <x:c r="I1825" s="26" t="n">
        <x:f>H1825*IF(F1825=0,E1825*$B$7,-E1825*$B$8)</x:f>
        <x:v>822.1908</x:v>
      </x:c>
    </x:row>
    <x:row r="1826">
      <x:c r="A1826" t="n">
        <x:v>4890</x:v>
      </x:c>
      <x:c r="B1826" t="str">
        <x:v>2024-11</x:v>
      </x:c>
      <x:c r="C1826" t="str">
        <x:v>Contract</x:v>
      </x:c>
      <x:c r="D1826" t="str">
        <x:v>Group A</x:v>
      </x:c>
      <x:c r="E1826" s="26" t="n">
        <x:v>5690.24</x:v>
      </x:c>
      <x:c r="F1826" t="n">
        <x:v>0</x:v>
      </x:c>
      <x:c r="G1826" s="25" t="n">
        <x:v>0.217157</x:v>
      </x:c>
      <x:c r="H1826" t="n">
        <x:f>IF(G1826&lt;$B$6,1,0)</x:f>
        <x:v>0</x:v>
      </x:c>
      <x:c r="I1826" s="26" t="n">
        <x:f>H1826*IF(F1826=0,E1826*$B$7,-E1826*$B$8)</x:f>
        <x:v>0</x:v>
      </x:c>
    </x:row>
    <x:row r="1827">
      <x:c r="A1827" t="n">
        <x:v>4906</x:v>
      </x:c>
      <x:c r="B1827" t="str">
        <x:v>2024-11</x:v>
      </x:c>
      <x:c r="C1827" t="str">
        <x:v>Salaried</x:v>
      </x:c>
      <x:c r="D1827" t="str">
        <x:v>Group A</x:v>
      </x:c>
      <x:c r="E1827" s="26" t="n">
        <x:v>4856.45</x:v>
      </x:c>
      <x:c r="F1827" t="n">
        <x:v>0</x:v>
      </x:c>
      <x:c r="G1827" s="25" t="n">
        <x:v>0.034796</x:v>
      </x:c>
      <x:c r="H1827" t="n">
        <x:f>IF(G1827&lt;$B$6,1,0)</x:f>
        <x:v>1</x:v>
      </x:c>
      <x:c r="I1827" s="26" t="n">
        <x:f>H1827*IF(F1827=0,E1827*$B$7,-E1827*$B$8)</x:f>
        <x:v>582.774</x:v>
      </x:c>
    </x:row>
    <x:row r="1828">
      <x:c r="A1828" t="n">
        <x:v>4937</x:v>
      </x:c>
      <x:c r="B1828" t="str">
        <x:v>2024-11</x:v>
      </x:c>
      <x:c r="C1828" t="str">
        <x:v>Self employed</x:v>
      </x:c>
      <x:c r="D1828" t="str">
        <x:v>Group A</x:v>
      </x:c>
      <x:c r="E1828" s="26" t="n">
        <x:v>16587.85</x:v>
      </x:c>
      <x:c r="F1828" t="n">
        <x:v>0</x:v>
      </x:c>
      <x:c r="G1828" s="25" t="n">
        <x:v>0.038553</x:v>
      </x:c>
      <x:c r="H1828" t="n">
        <x:f>IF(G1828&lt;$B$6,1,0)</x:f>
        <x:v>1</x:v>
      </x:c>
      <x:c r="I1828" s="26" t="n">
        <x:f>H1828*IF(F1828=0,E1828*$B$7,-E1828*$B$8)</x:f>
        <x:v>1990.5419999999997</x:v>
      </x:c>
    </x:row>
    <x:row r="1829">
      <x:c r="A1829" t="n">
        <x:v>4974</x:v>
      </x:c>
      <x:c r="B1829" t="str">
        <x:v>2024-11</x:v>
      </x:c>
      <x:c r="C1829" t="str">
        <x:v>Salaried</x:v>
      </x:c>
      <x:c r="D1829" t="str">
        <x:v>Group A</x:v>
      </x:c>
      <x:c r="E1829" s="26" t="n">
        <x:v>18337</x:v>
      </x:c>
      <x:c r="F1829" t="n">
        <x:v>0</x:v>
      </x:c>
      <x:c r="G1829" s="25" t="n">
        <x:v>0.070684</x:v>
      </x:c>
      <x:c r="H1829" t="n">
        <x:f>IF(G1829&lt;$B$6,1,0)</x:f>
        <x:v>1</x:v>
      </x:c>
      <x:c r="I1829" s="26" t="n">
        <x:f>H1829*IF(F1829=0,E1829*$B$7,-E1829*$B$8)</x:f>
        <x:v>2200.44</x:v>
      </x:c>
    </x:row>
    <x:row r="1830">
      <x:c r="A1830" t="n">
        <x:v>4990</x:v>
      </x:c>
      <x:c r="B1830" t="str">
        <x:v>2024-11</x:v>
      </x:c>
      <x:c r="C1830" t="str">
        <x:v>Salaried</x:v>
      </x:c>
      <x:c r="D1830" t="str">
        <x:v>Group B</x:v>
      </x:c>
      <x:c r="E1830" s="26" t="n">
        <x:v>12609.76</x:v>
      </x:c>
      <x:c r="F1830" t="n">
        <x:v>1</x:v>
      </x:c>
      <x:c r="G1830" s="25" t="n">
        <x:v>0.1208</x:v>
      </x:c>
      <x:c r="H1830" t="n">
        <x:f>IF(G1830&lt;$B$6,1,0)</x:f>
        <x:v>1</x:v>
      </x:c>
      <x:c r="I1830" s="26" t="n">
        <x:f>H1830*IF(F1830=0,E1830*$B$7,-E1830*$B$8)</x:f>
        <x:v>-8196.344000000001</x:v>
      </x:c>
    </x:row>
    <x:row r="1831">
      <x:c r="A1831" t="n">
        <x:v>5016</x:v>
      </x:c>
      <x:c r="B1831" t="str">
        <x:v>2024-11</x:v>
      </x:c>
      <x:c r="C1831" t="str">
        <x:v>Salaried</x:v>
      </x:c>
      <x:c r="D1831" t="str">
        <x:v>Group B</x:v>
      </x:c>
      <x:c r="E1831" s="26" t="n">
        <x:v>11443.43</x:v>
      </x:c>
      <x:c r="F1831" t="n">
        <x:v>0</x:v>
      </x:c>
      <x:c r="G1831" s="25" t="n">
        <x:v>0.108708</x:v>
      </x:c>
      <x:c r="H1831" t="n">
        <x:f>IF(G1831&lt;$B$6,1,0)</x:f>
        <x:v>1</x:v>
      </x:c>
      <x:c r="I1831" s="26" t="n">
        <x:f>H1831*IF(F1831=0,E1831*$B$7,-E1831*$B$8)</x:f>
        <x:v>1373.2116</x:v>
      </x:c>
    </x:row>
    <x:row r="1832">
      <x:c r="A1832" t="n">
        <x:v>5028</x:v>
      </x:c>
      <x:c r="B1832" t="str">
        <x:v>2024-11</x:v>
      </x:c>
      <x:c r="C1832" t="str">
        <x:v>Salaried</x:v>
      </x:c>
      <x:c r="D1832" t="str">
        <x:v>Group B</x:v>
      </x:c>
      <x:c r="E1832" s="26" t="n">
        <x:v>8190.22</x:v>
      </x:c>
      <x:c r="F1832" t="n">
        <x:v>1</x:v>
      </x:c>
      <x:c r="G1832" s="25" t="n">
        <x:v>0.274768</x:v>
      </x:c>
      <x:c r="H1832" t="n">
        <x:f>IF(G1832&lt;$B$6,1,0)</x:f>
        <x:v>0</x:v>
      </x:c>
      <x:c r="I1832" s="26" t="n">
        <x:f>H1832*IF(F1832=0,E1832*$B$7,-E1832*$B$8)</x:f>
        <x:v>0</x:v>
      </x:c>
    </x:row>
    <x:row r="1833">
      <x:c r="A1833" t="n">
        <x:v>5037</x:v>
      </x:c>
      <x:c r="B1833" t="str">
        <x:v>2024-11</x:v>
      </x:c>
      <x:c r="C1833" t="str">
        <x:v>Salaried</x:v>
      </x:c>
      <x:c r="D1833" t="str">
        <x:v>Group B</x:v>
      </x:c>
      <x:c r="E1833" s="26" t="n">
        <x:v>75000</x:v>
      </x:c>
      <x:c r="F1833" t="n">
        <x:v>0</x:v>
      </x:c>
      <x:c r="G1833" s="25" t="n">
        <x:v>0.081414</x:v>
      </x:c>
      <x:c r="H1833" t="n">
        <x:f>IF(G1833&lt;$B$6,1,0)</x:f>
        <x:v>1</x:v>
      </x:c>
      <x:c r="I1833" s="26" t="n">
        <x:f>H1833*IF(F1833=0,E1833*$B$7,-E1833*$B$8)</x:f>
        <x:v>9000</x:v>
      </x:c>
    </x:row>
    <x:row r="1834">
      <x:c r="A1834" t="n">
        <x:v>5053</x:v>
      </x:c>
      <x:c r="B1834" t="str">
        <x:v>2024-11</x:v>
      </x:c>
      <x:c r="C1834" t="str">
        <x:v>Self employed</x:v>
      </x:c>
      <x:c r="D1834" t="str">
        <x:v>Group A</x:v>
      </x:c>
      <x:c r="E1834" s="26" t="n">
        <x:v>6912.76</x:v>
      </x:c>
      <x:c r="F1834" t="n">
        <x:v>0</x:v>
      </x:c>
      <x:c r="G1834" s="25" t="n">
        <x:v>0.394905</x:v>
      </x:c>
      <x:c r="H1834" t="n">
        <x:f>IF(G1834&lt;$B$6,1,0)</x:f>
        <x:v>0</x:v>
      </x:c>
      <x:c r="I1834" s="26" t="n">
        <x:f>H1834*IF(F1834=0,E1834*$B$7,-E1834*$B$8)</x:f>
        <x:v>0</x:v>
      </x:c>
    </x:row>
    <x:row r="1835">
      <x:c r="A1835" t="n">
        <x:v>5071</x:v>
      </x:c>
      <x:c r="B1835" t="str">
        <x:v>2024-11</x:v>
      </x:c>
      <x:c r="C1835" t="str">
        <x:v>Salaried</x:v>
      </x:c>
      <x:c r="D1835" t="str">
        <x:v>Group B</x:v>
      </x:c>
      <x:c r="E1835" s="26" t="n">
        <x:v>3636.97</x:v>
      </x:c>
      <x:c r="F1835" t="n">
        <x:v>0</x:v>
      </x:c>
      <x:c r="G1835" s="25" t="n">
        <x:v>0.134198</x:v>
      </x:c>
      <x:c r="H1835" t="n">
        <x:f>IF(G1835&lt;$B$6,1,0)</x:f>
        <x:v>1</x:v>
      </x:c>
      <x:c r="I1835" s="26" t="n">
        <x:f>H1835*IF(F1835=0,E1835*$B$7,-E1835*$B$8)</x:f>
        <x:v>436.43639999999994</x:v>
      </x:c>
    </x:row>
    <x:row r="1836">
      <x:c r="A1836" t="n">
        <x:v>5092</x:v>
      </x:c>
      <x:c r="B1836" t="str">
        <x:v>2024-11</x:v>
      </x:c>
      <x:c r="C1836" t="str">
        <x:v>Salaried</x:v>
      </x:c>
      <x:c r="D1836" t="str">
        <x:v>Group A</x:v>
      </x:c>
      <x:c r="E1836" s="26" t="n">
        <x:v>16658.57</x:v>
      </x:c>
      <x:c r="F1836" t="n">
        <x:v>0</x:v>
      </x:c>
      <x:c r="G1836" s="25" t="n">
        <x:v>0.144077</x:v>
      </x:c>
      <x:c r="H1836" t="n">
        <x:f>IF(G1836&lt;$B$6,1,0)</x:f>
        <x:v>1</x:v>
      </x:c>
      <x:c r="I1836" s="26" t="n">
        <x:f>H1836*IF(F1836=0,E1836*$B$7,-E1836*$B$8)</x:f>
        <x:v>1999.0284</x:v>
      </x:c>
    </x:row>
    <x:row r="1837">
      <x:c r="A1837" t="n">
        <x:v>5098</x:v>
      </x:c>
      <x:c r="B1837" t="str">
        <x:v>2024-11</x:v>
      </x:c>
      <x:c r="C1837" t="str">
        <x:v>Salaried</x:v>
      </x:c>
      <x:c r="D1837" t="str">
        <x:v>Group B</x:v>
      </x:c>
      <x:c r="E1837" s="26" t="n">
        <x:v>4825.57</x:v>
      </x:c>
      <x:c r="F1837" t="n">
        <x:v>1</x:v>
      </x:c>
      <x:c r="G1837" s="25" t="n">
        <x:v>0.234073</x:v>
      </x:c>
      <x:c r="H1837" t="n">
        <x:f>IF(G1837&lt;$B$6,1,0)</x:f>
        <x:v>0</x:v>
      </x:c>
      <x:c r="I1837" s="26" t="n">
        <x:f>H1837*IF(F1837=0,E1837*$B$7,-E1837*$B$8)</x:f>
        <x:v>0</x:v>
      </x:c>
    </x:row>
    <x:row r="1838">
      <x:c r="A1838" t="n">
        <x:v>5190</x:v>
      </x:c>
      <x:c r="B1838" t="str">
        <x:v>2024-11</x:v>
      </x:c>
      <x:c r="C1838" t="str">
        <x:v>Self employed</x:v>
      </x:c>
      <x:c r="D1838" t="str">
        <x:v>Group B</x:v>
      </x:c>
      <x:c r="E1838" s="26" t="n">
        <x:v>12301.54</x:v>
      </x:c>
      <x:c r="F1838" t="n">
        <x:v>1</x:v>
      </x:c>
      <x:c r="G1838" s="25" t="n">
        <x:v>0.364566</x:v>
      </x:c>
      <x:c r="H1838" t="n">
        <x:f>IF(G1838&lt;$B$6,1,0)</x:f>
        <x:v>0</x:v>
      </x:c>
      <x:c r="I1838" s="26" t="n">
        <x:f>H1838*IF(F1838=0,E1838*$B$7,-E1838*$B$8)</x:f>
        <x:v>0</x:v>
      </x:c>
    </x:row>
    <x:row r="1839">
      <x:c r="A1839" t="n">
        <x:v>5209</x:v>
      </x:c>
      <x:c r="B1839" t="str">
        <x:v>2024-11</x:v>
      </x:c>
      <x:c r="C1839" t="str">
        <x:v>Salaried</x:v>
      </x:c>
      <x:c r="D1839" t="str">
        <x:v>Group A</x:v>
      </x:c>
      <x:c r="E1839" s="26" t="n">
        <x:v>5154.19</x:v>
      </x:c>
      <x:c r="F1839" t="n">
        <x:v>0</x:v>
      </x:c>
      <x:c r="G1839" s="25" t="n">
        <x:v>0.079983</x:v>
      </x:c>
      <x:c r="H1839" t="n">
        <x:f>IF(G1839&lt;$B$6,1,0)</x:f>
        <x:v>1</x:v>
      </x:c>
      <x:c r="I1839" s="26" t="n">
        <x:f>H1839*IF(F1839=0,E1839*$B$7,-E1839*$B$8)</x:f>
        <x:v>618.5028</x:v>
      </x:c>
    </x:row>
    <x:row r="1840">
      <x:c r="A1840" t="n">
        <x:v>5248</x:v>
      </x:c>
      <x:c r="B1840" t="str">
        <x:v>2024-11</x:v>
      </x:c>
      <x:c r="C1840" t="str">
        <x:v>Self employed</x:v>
      </x:c>
      <x:c r="D1840" t="str">
        <x:v>Group A</x:v>
      </x:c>
      <x:c r="E1840" s="26" t="n">
        <x:v>7335.35</x:v>
      </x:c>
      <x:c r="F1840" t="n">
        <x:v>0</x:v>
      </x:c>
      <x:c r="G1840" s="25" t="n">
        <x:v>0.079439</x:v>
      </x:c>
      <x:c r="H1840" t="n">
        <x:f>IF(G1840&lt;$B$6,1,0)</x:f>
        <x:v>1</x:v>
      </x:c>
      <x:c r="I1840" s="26" t="n">
        <x:f>H1840*IF(F1840=0,E1840*$B$7,-E1840*$B$8)</x:f>
        <x:v>880.242</x:v>
      </x:c>
    </x:row>
    <x:row r="1841">
      <x:c r="A1841" t="n">
        <x:v>5280</x:v>
      </x:c>
      <x:c r="B1841" t="str">
        <x:v>2024-11</x:v>
      </x:c>
      <x:c r="C1841" t="str">
        <x:v>Self employed</x:v>
      </x:c>
      <x:c r="D1841" t="str">
        <x:v>Group A</x:v>
      </x:c>
      <x:c r="E1841" s="26" t="n">
        <x:v>4796.05</x:v>
      </x:c>
      <x:c r="F1841" t="n">
        <x:v>0</x:v>
      </x:c>
      <x:c r="G1841" s="25" t="n">
        <x:v>0.205741</x:v>
      </x:c>
      <x:c r="H1841" t="n">
        <x:f>IF(G1841&lt;$B$6,1,0)</x:f>
        <x:v>0</x:v>
      </x:c>
      <x:c r="I1841" s="26" t="n">
        <x:f>H1841*IF(F1841=0,E1841*$B$7,-E1841*$B$8)</x:f>
        <x:v>0</x:v>
      </x:c>
    </x:row>
    <x:row r="1842">
      <x:c r="A1842" t="n">
        <x:v>5284</x:v>
      </x:c>
      <x:c r="B1842" t="str">
        <x:v>2024-11</x:v>
      </x:c>
      <x:c r="C1842" t="str">
        <x:v>Salaried</x:v>
      </x:c>
      <x:c r="D1842" t="str">
        <x:v>Group B</x:v>
      </x:c>
      <x:c r="E1842" s="26" t="n">
        <x:v>19376.82</x:v>
      </x:c>
      <x:c r="F1842" t="n">
        <x:v>0</x:v>
      </x:c>
      <x:c r="G1842" s="25" t="n">
        <x:v>0.07579</x:v>
      </x:c>
      <x:c r="H1842" t="n">
        <x:f>IF(G1842&lt;$B$6,1,0)</x:f>
        <x:v>1</x:v>
      </x:c>
      <x:c r="I1842" s="26" t="n">
        <x:f>H1842*IF(F1842=0,E1842*$B$7,-E1842*$B$8)</x:f>
        <x:v>2325.2183999999997</x:v>
      </x:c>
    </x:row>
    <x:row r="1843">
      <x:c r="A1843" t="n">
        <x:v>5302</x:v>
      </x:c>
      <x:c r="B1843" t="str">
        <x:v>2024-11</x:v>
      </x:c>
      <x:c r="C1843" t="str">
        <x:v>Salaried</x:v>
      </x:c>
      <x:c r="D1843" t="str">
        <x:v>Group A</x:v>
      </x:c>
      <x:c r="E1843" s="26" t="n">
        <x:v>21466.55</x:v>
      </x:c>
      <x:c r="F1843" t="n">
        <x:v>0</x:v>
      </x:c>
      <x:c r="G1843" s="25" t="n">
        <x:v>0.167865</x:v>
      </x:c>
      <x:c r="H1843" t="n">
        <x:f>IF(G1843&lt;$B$6,1,0)</x:f>
        <x:v>0</x:v>
      </x:c>
      <x:c r="I1843" s="26" t="n">
        <x:f>H1843*IF(F1843=0,E1843*$B$7,-E1843*$B$8)</x:f>
        <x:v>0</x:v>
      </x:c>
    </x:row>
    <x:row r="1844">
      <x:c r="A1844" t="n">
        <x:v>5357</x:v>
      </x:c>
      <x:c r="B1844" t="str">
        <x:v>2024-11</x:v>
      </x:c>
      <x:c r="C1844" t="str">
        <x:v>Self employed</x:v>
      </x:c>
      <x:c r="D1844" t="str">
        <x:v>Group A</x:v>
      </x:c>
      <x:c r="E1844" s="26" t="n">
        <x:v>15450.06</x:v>
      </x:c>
      <x:c r="F1844" t="n">
        <x:v>0</x:v>
      </x:c>
      <x:c r="G1844" s="25" t="n">
        <x:v>0.089798</x:v>
      </x:c>
      <x:c r="H1844" t="n">
        <x:f>IF(G1844&lt;$B$6,1,0)</x:f>
        <x:v>1</x:v>
      </x:c>
      <x:c r="I1844" s="26" t="n">
        <x:f>H1844*IF(F1844=0,E1844*$B$7,-E1844*$B$8)</x:f>
        <x:v>1854.0071999999998</x:v>
      </x:c>
    </x:row>
    <x:row r="1845">
      <x:c r="A1845" t="n">
        <x:v>5391</x:v>
      </x:c>
      <x:c r="B1845" t="str">
        <x:v>2024-11</x:v>
      </x:c>
      <x:c r="C1845" t="str">
        <x:v>Salaried</x:v>
      </x:c>
      <x:c r="D1845" t="str">
        <x:v>Group B</x:v>
      </x:c>
      <x:c r="E1845" s="26" t="n">
        <x:v>30183.47</x:v>
      </x:c>
      <x:c r="F1845" t="n">
        <x:v>0</x:v>
      </x:c>
      <x:c r="G1845" s="25" t="n">
        <x:v>0.187689</x:v>
      </x:c>
      <x:c r="H1845" t="n">
        <x:f>IF(G1845&lt;$B$6,1,0)</x:f>
        <x:v>0</x:v>
      </x:c>
      <x:c r="I1845" s="26" t="n">
        <x:f>H1845*IF(F1845=0,E1845*$B$7,-E1845*$B$8)</x:f>
        <x:v>0</x:v>
      </x:c>
    </x:row>
    <x:row r="1846">
      <x:c r="A1846" t="n">
        <x:v>5397</x:v>
      </x:c>
      <x:c r="B1846" t="str">
        <x:v>2024-11</x:v>
      </x:c>
      <x:c r="C1846" t="str">
        <x:v>Salaried</x:v>
      </x:c>
      <x:c r="D1846" t="str">
        <x:v>Group B</x:v>
      </x:c>
      <x:c r="E1846" s="26" t="n">
        <x:v>6184.43</x:v>
      </x:c>
      <x:c r="F1846" t="n">
        <x:v>0</x:v>
      </x:c>
      <x:c r="G1846" s="25" t="n">
        <x:v>0.133635</x:v>
      </x:c>
      <x:c r="H1846" t="n">
        <x:f>IF(G1846&lt;$B$6,1,0)</x:f>
        <x:v>1</x:v>
      </x:c>
      <x:c r="I1846" s="26" t="n">
        <x:f>H1846*IF(F1846=0,E1846*$B$7,-E1846*$B$8)</x:f>
        <x:v>742.1316</x:v>
      </x:c>
    </x:row>
    <x:row r="1847">
      <x:c r="A1847" t="n">
        <x:v>5438</x:v>
      </x:c>
      <x:c r="B1847" t="str">
        <x:v>2024-11</x:v>
      </x:c>
      <x:c r="C1847" t="str">
        <x:v>Self employed</x:v>
      </x:c>
      <x:c r="D1847" t="str">
        <x:v>Group A</x:v>
      </x:c>
      <x:c r="E1847" s="26" t="n">
        <x:v>8964.15</x:v>
      </x:c>
      <x:c r="F1847" t="n">
        <x:v>0</x:v>
      </x:c>
      <x:c r="G1847" s="25" t="n">
        <x:v>0.177734</x:v>
      </x:c>
      <x:c r="H1847" t="n">
        <x:f>IF(G1847&lt;$B$6,1,0)</x:f>
        <x:v>0</x:v>
      </x:c>
      <x:c r="I1847" s="26" t="n">
        <x:f>H1847*IF(F1847=0,E1847*$B$7,-E1847*$B$8)</x:f>
        <x:v>0</x:v>
      </x:c>
    </x:row>
    <x:row r="1848">
      <x:c r="A1848" t="n">
        <x:v>5444</x:v>
      </x:c>
      <x:c r="B1848" t="str">
        <x:v>2024-11</x:v>
      </x:c>
      <x:c r="C1848" t="str">
        <x:v>Salaried</x:v>
      </x:c>
      <x:c r="D1848" t="str">
        <x:v>Group B</x:v>
      </x:c>
      <x:c r="E1848" s="26" t="n">
        <x:v>6222.05</x:v>
      </x:c>
      <x:c r="F1848" t="n">
        <x:v>0</x:v>
      </x:c>
      <x:c r="G1848" s="25" t="n">
        <x:v>0.108342</x:v>
      </x:c>
      <x:c r="H1848" t="n">
        <x:f>IF(G1848&lt;$B$6,1,0)</x:f>
        <x:v>1</x:v>
      </x:c>
      <x:c r="I1848" s="26" t="n">
        <x:f>H1848*IF(F1848=0,E1848*$B$7,-E1848*$B$8)</x:f>
        <x:v>746.646</x:v>
      </x:c>
    </x:row>
    <x:row r="1849">
      <x:c r="A1849" t="n">
        <x:v>5448</x:v>
      </x:c>
      <x:c r="B1849" t="str">
        <x:v>2024-11</x:v>
      </x:c>
      <x:c r="C1849" t="str">
        <x:v>Contract</x:v>
      </x:c>
      <x:c r="D1849" t="str">
        <x:v>Group A</x:v>
      </x:c>
      <x:c r="E1849" s="26" t="n">
        <x:v>14817.88</x:v>
      </x:c>
      <x:c r="F1849" t="n">
        <x:v>0</x:v>
      </x:c>
      <x:c r="G1849" s="25" t="n">
        <x:v>0.13239</x:v>
      </x:c>
      <x:c r="H1849" t="n">
        <x:f>IF(G1849&lt;$B$6,1,0)</x:f>
        <x:v>1</x:v>
      </x:c>
      <x:c r="I1849" s="26" t="n">
        <x:f>H1849*IF(F1849=0,E1849*$B$7,-E1849*$B$8)</x:f>
        <x:v>1778.1455999999998</x:v>
      </x:c>
    </x:row>
    <x:row r="1850">
      <x:c r="A1850" t="n">
        <x:v>5453</x:v>
      </x:c>
      <x:c r="B1850" t="str">
        <x:v>2024-11</x:v>
      </x:c>
      <x:c r="C1850" t="str">
        <x:v>Salaried</x:v>
      </x:c>
      <x:c r="D1850" t="str">
        <x:v>Group B</x:v>
      </x:c>
      <x:c r="E1850" s="26" t="n">
        <x:v>41177.48</x:v>
      </x:c>
      <x:c r="F1850" t="n">
        <x:v>0</x:v>
      </x:c>
      <x:c r="G1850" s="25" t="n">
        <x:v>0.182213</x:v>
      </x:c>
      <x:c r="H1850" t="n">
        <x:f>IF(G1850&lt;$B$6,1,0)</x:f>
        <x:v>0</x:v>
      </x:c>
      <x:c r="I1850" s="26" t="n">
        <x:f>H1850*IF(F1850=0,E1850*$B$7,-E1850*$B$8)</x:f>
        <x:v>0</x:v>
      </x:c>
    </x:row>
    <x:row r="1851">
      <x:c r="A1851" t="n">
        <x:v>5571</x:v>
      </x:c>
      <x:c r="B1851" t="str">
        <x:v>2024-11</x:v>
      </x:c>
      <x:c r="C1851" t="str">
        <x:v>Self employed</x:v>
      </x:c>
      <x:c r="D1851" t="str">
        <x:v>Group A</x:v>
      </x:c>
      <x:c r="E1851" s="26" t="n">
        <x:v>32532.33</x:v>
      </x:c>
      <x:c r="F1851" t="n">
        <x:v>1</x:v>
      </x:c>
      <x:c r="G1851" s="25" t="n">
        <x:v>0.52932</x:v>
      </x:c>
      <x:c r="H1851" t="n">
        <x:f>IF(G1851&lt;$B$6,1,0)</x:f>
        <x:v>0</x:v>
      </x:c>
      <x:c r="I1851" s="26" t="n">
        <x:f>H1851*IF(F1851=0,E1851*$B$7,-E1851*$B$8)</x:f>
        <x:v>0</x:v>
      </x:c>
    </x:row>
    <x:row r="1852">
      <x:c r="A1852" t="n">
        <x:v>5581</x:v>
      </x:c>
      <x:c r="B1852" t="str">
        <x:v>2024-11</x:v>
      </x:c>
      <x:c r="C1852" t="str">
        <x:v>Contract</x:v>
      </x:c>
      <x:c r="D1852" t="str">
        <x:v>Group B</x:v>
      </x:c>
      <x:c r="E1852" s="26" t="n">
        <x:v>9087.02</x:v>
      </x:c>
      <x:c r="F1852" t="n">
        <x:v>0</x:v>
      </x:c>
      <x:c r="G1852" s="25" t="n">
        <x:v>0.230856</x:v>
      </x:c>
      <x:c r="H1852" t="n">
        <x:f>IF(G1852&lt;$B$6,1,0)</x:f>
        <x:v>0</x:v>
      </x:c>
      <x:c r="I1852" s="26" t="n">
        <x:f>H1852*IF(F1852=0,E1852*$B$7,-E1852*$B$8)</x:f>
        <x:v>0</x:v>
      </x:c>
    </x:row>
    <x:row r="1853">
      <x:c r="A1853" t="n">
        <x:v>5588</x:v>
      </x:c>
      <x:c r="B1853" t="str">
        <x:v>2024-11</x:v>
      </x:c>
      <x:c r="C1853" t="str">
        <x:v>Self employed</x:v>
      </x:c>
      <x:c r="D1853" t="str">
        <x:v>Group A</x:v>
      </x:c>
      <x:c r="E1853" s="26" t="n">
        <x:v>29138.18</x:v>
      </x:c>
      <x:c r="F1853" t="n">
        <x:v>1</x:v>
      </x:c>
      <x:c r="G1853" s="25" t="n">
        <x:v>0.303158</x:v>
      </x:c>
      <x:c r="H1853" t="n">
        <x:f>IF(G1853&lt;$B$6,1,0)</x:f>
        <x:v>0</x:v>
      </x:c>
      <x:c r="I1853" s="26" t="n">
        <x:f>H1853*IF(F1853=0,E1853*$B$7,-E1853*$B$8)</x:f>
        <x:v>0</x:v>
      </x:c>
    </x:row>
    <x:row r="1854">
      <x:c r="A1854" t="n">
        <x:v>5614</x:v>
      </x:c>
      <x:c r="B1854" t="str">
        <x:v>2024-11</x:v>
      </x:c>
      <x:c r="C1854" t="str">
        <x:v>Self employed</x:v>
      </x:c>
      <x:c r="D1854" t="str">
        <x:v>Group B</x:v>
      </x:c>
      <x:c r="E1854" s="26" t="n">
        <x:v>15739.55</x:v>
      </x:c>
      <x:c r="F1854" t="n">
        <x:v>0</x:v>
      </x:c>
      <x:c r="G1854" s="25" t="n">
        <x:v>0.260938</x:v>
      </x:c>
      <x:c r="H1854" t="n">
        <x:f>IF(G1854&lt;$B$6,1,0)</x:f>
        <x:v>0</x:v>
      </x:c>
      <x:c r="I1854" s="26" t="n">
        <x:f>H1854*IF(F1854=0,E1854*$B$7,-E1854*$B$8)</x:f>
        <x:v>0</x:v>
      </x:c>
    </x:row>
    <x:row r="1855">
      <x:c r="A1855" t="n">
        <x:v>5680</x:v>
      </x:c>
      <x:c r="B1855" t="str">
        <x:v>2024-11</x:v>
      </x:c>
      <x:c r="C1855" t="str">
        <x:v>Salaried</x:v>
      </x:c>
      <x:c r="D1855" t="str">
        <x:v>Group A</x:v>
      </x:c>
      <x:c r="E1855" s="26" t="n">
        <x:v>13135.86</x:v>
      </x:c>
      <x:c r="F1855" t="n">
        <x:v>0</x:v>
      </x:c>
      <x:c r="G1855" s="25" t="n">
        <x:v>0.03554</x:v>
      </x:c>
      <x:c r="H1855" t="n">
        <x:f>IF(G1855&lt;$B$6,1,0)</x:f>
        <x:v>1</x:v>
      </x:c>
      <x:c r="I1855" s="26" t="n">
        <x:f>H1855*IF(F1855=0,E1855*$B$7,-E1855*$B$8)</x:f>
        <x:v>1576.3032</x:v>
      </x:c>
    </x:row>
    <x:row r="1856">
      <x:c r="A1856" t="n">
        <x:v>5681</x:v>
      </x:c>
      <x:c r="B1856" t="str">
        <x:v>2024-11</x:v>
      </x:c>
      <x:c r="C1856" t="str">
        <x:v>Salaried</x:v>
      </x:c>
      <x:c r="D1856" t="str">
        <x:v>Group A</x:v>
      </x:c>
      <x:c r="E1856" s="26" t="n">
        <x:v>17311.05</x:v>
      </x:c>
      <x:c r="F1856" t="n">
        <x:v>0</x:v>
      </x:c>
      <x:c r="G1856" s="25" t="n">
        <x:v>0.090756</x:v>
      </x:c>
      <x:c r="H1856" t="n">
        <x:f>IF(G1856&lt;$B$6,1,0)</x:f>
        <x:v>1</x:v>
      </x:c>
      <x:c r="I1856" s="26" t="n">
        <x:f>H1856*IF(F1856=0,E1856*$B$7,-E1856*$B$8)</x:f>
        <x:v>2077.326</x:v>
      </x:c>
    </x:row>
    <x:row r="1857">
      <x:c r="A1857" t="n">
        <x:v>5699</x:v>
      </x:c>
      <x:c r="B1857" t="str">
        <x:v>2024-11</x:v>
      </x:c>
      <x:c r="C1857" t="str">
        <x:v>Salaried</x:v>
      </x:c>
      <x:c r="D1857" t="str">
        <x:v>Group B</x:v>
      </x:c>
      <x:c r="E1857" s="26" t="n">
        <x:v>25333.35</x:v>
      </x:c>
      <x:c r="F1857" t="n">
        <x:v>0</x:v>
      </x:c>
      <x:c r="G1857" s="25" t="n">
        <x:v>0.066979</x:v>
      </x:c>
      <x:c r="H1857" t="n">
        <x:f>IF(G1857&lt;$B$6,1,0)</x:f>
        <x:v>1</x:v>
      </x:c>
      <x:c r="I1857" s="26" t="n">
        <x:f>H1857*IF(F1857=0,E1857*$B$7,-E1857*$B$8)</x:f>
        <x:v>3040.0019999999995</x:v>
      </x:c>
    </x:row>
    <x:row r="1858">
      <x:c r="A1858" t="n">
        <x:v>5701</x:v>
      </x:c>
      <x:c r="B1858" t="str">
        <x:v>2024-11</x:v>
      </x:c>
      <x:c r="C1858" t="str">
        <x:v>Salaried</x:v>
      </x:c>
      <x:c r="D1858" t="str">
        <x:v>Group A</x:v>
      </x:c>
      <x:c r="E1858" s="26" t="n">
        <x:v>15740.58</x:v>
      </x:c>
      <x:c r="F1858" t="n">
        <x:v>0</x:v>
      </x:c>
      <x:c r="G1858" s="25" t="n">
        <x:v>0.086596</x:v>
      </x:c>
      <x:c r="H1858" t="n">
        <x:f>IF(G1858&lt;$B$6,1,0)</x:f>
        <x:v>1</x:v>
      </x:c>
      <x:c r="I1858" s="26" t="n">
        <x:f>H1858*IF(F1858=0,E1858*$B$7,-E1858*$B$8)</x:f>
        <x:v>1888.8696</x:v>
      </x:c>
    </x:row>
    <x:row r="1859">
      <x:c r="A1859" t="n">
        <x:v>5730</x:v>
      </x:c>
      <x:c r="B1859" t="str">
        <x:v>2024-11</x:v>
      </x:c>
      <x:c r="C1859" t="str">
        <x:v>Self employed</x:v>
      </x:c>
      <x:c r="D1859" t="str">
        <x:v>Group B</x:v>
      </x:c>
      <x:c r="E1859" s="26" t="n">
        <x:v>31069.2</x:v>
      </x:c>
      <x:c r="F1859" t="n">
        <x:v>0</x:v>
      </x:c>
      <x:c r="G1859" s="25" t="n">
        <x:v>0.2467</x:v>
      </x:c>
      <x:c r="H1859" t="n">
        <x:f>IF(G1859&lt;$B$6,1,0)</x:f>
        <x:v>0</x:v>
      </x:c>
      <x:c r="I1859" s="26" t="n">
        <x:f>H1859*IF(F1859=0,E1859*$B$7,-E1859*$B$8)</x:f>
        <x:v>0</x:v>
      </x:c>
    </x:row>
    <x:row r="1860">
      <x:c r="A1860" t="n">
        <x:v>5767</x:v>
      </x:c>
      <x:c r="B1860" t="str">
        <x:v>2024-11</x:v>
      </x:c>
      <x:c r="C1860" t="str">
        <x:v>Salaried</x:v>
      </x:c>
      <x:c r="D1860" t="str">
        <x:v>Group A</x:v>
      </x:c>
      <x:c r="E1860" s="26" t="n">
        <x:v>8536.26</x:v>
      </x:c>
      <x:c r="F1860" t="n">
        <x:v>0</x:v>
      </x:c>
      <x:c r="G1860" s="25" t="n">
        <x:v>0.033184</x:v>
      </x:c>
      <x:c r="H1860" t="n">
        <x:f>IF(G1860&lt;$B$6,1,0)</x:f>
        <x:v>1</x:v>
      </x:c>
      <x:c r="I1860" s="26" t="n">
        <x:f>H1860*IF(F1860=0,E1860*$B$7,-E1860*$B$8)</x:f>
        <x:v>1024.3512</x:v>
      </x:c>
    </x:row>
    <x:row r="1861">
      <x:c r="A1861" t="n">
        <x:v>5780</x:v>
      </x:c>
      <x:c r="B1861" t="str">
        <x:v>2024-11</x:v>
      </x:c>
      <x:c r="C1861" t="str">
        <x:v>Salaried</x:v>
      </x:c>
      <x:c r="D1861" t="str">
        <x:v>Group A</x:v>
      </x:c>
      <x:c r="E1861" s="26" t="n">
        <x:v>25855.11</x:v>
      </x:c>
      <x:c r="F1861" t="n">
        <x:v>0</x:v>
      </x:c>
      <x:c r="G1861" s="25" t="n">
        <x:v>0.063764</x:v>
      </x:c>
      <x:c r="H1861" t="n">
        <x:f>IF(G1861&lt;$B$6,1,0)</x:f>
        <x:v>1</x:v>
      </x:c>
      <x:c r="I1861" s="26" t="n">
        <x:f>H1861*IF(F1861=0,E1861*$B$7,-E1861*$B$8)</x:f>
        <x:v>3102.6132</x:v>
      </x:c>
    </x:row>
    <x:row r="1862">
      <x:c r="A1862" t="n">
        <x:v>5818</x:v>
      </x:c>
      <x:c r="B1862" t="str">
        <x:v>2024-11</x:v>
      </x:c>
      <x:c r="C1862" t="str">
        <x:v>Salaried</x:v>
      </x:c>
      <x:c r="D1862" t="str">
        <x:v>Group A</x:v>
      </x:c>
      <x:c r="E1862" s="26" t="n">
        <x:v>7289.94</x:v>
      </x:c>
      <x:c r="F1862" t="n">
        <x:v>1</x:v>
      </x:c>
      <x:c r="G1862" s="25" t="n">
        <x:v>0.078015</x:v>
      </x:c>
      <x:c r="H1862" t="n">
        <x:f>IF(G1862&lt;$B$6,1,0)</x:f>
        <x:v>1</x:v>
      </x:c>
      <x:c r="I1862" s="26" t="n">
        <x:f>H1862*IF(F1862=0,E1862*$B$7,-E1862*$B$8)</x:f>
        <x:v>-4738.461</x:v>
      </x:c>
    </x:row>
    <x:row r="1863">
      <x:c r="A1863" t="n">
        <x:v>5833</x:v>
      </x:c>
      <x:c r="B1863" t="str">
        <x:v>2024-11</x:v>
      </x:c>
      <x:c r="C1863" t="str">
        <x:v>Self employed</x:v>
      </x:c>
      <x:c r="D1863" t="str">
        <x:v>Group A</x:v>
      </x:c>
      <x:c r="E1863" s="26" t="n">
        <x:v>17368.69</x:v>
      </x:c>
      <x:c r="F1863" t="n">
        <x:v>0</x:v>
      </x:c>
      <x:c r="G1863" s="25" t="n">
        <x:v>0.103306</x:v>
      </x:c>
      <x:c r="H1863" t="n">
        <x:f>IF(G1863&lt;$B$6,1,0)</x:f>
        <x:v>1</x:v>
      </x:c>
      <x:c r="I1863" s="26" t="n">
        <x:f>H1863*IF(F1863=0,E1863*$B$7,-E1863*$B$8)</x:f>
        <x:v>2084.2428</x:v>
      </x:c>
    </x:row>
    <x:row r="1864">
      <x:c r="A1864" t="n">
        <x:v>5865</x:v>
      </x:c>
      <x:c r="B1864" t="str">
        <x:v>2024-11</x:v>
      </x:c>
      <x:c r="C1864" t="str">
        <x:v>Salaried</x:v>
      </x:c>
      <x:c r="D1864" t="str">
        <x:v>Group A</x:v>
      </x:c>
      <x:c r="E1864" s="26" t="n">
        <x:v>25992.34</x:v>
      </x:c>
      <x:c r="F1864" t="n">
        <x:v>0</x:v>
      </x:c>
      <x:c r="G1864" s="25" t="n">
        <x:v>0.361659</x:v>
      </x:c>
      <x:c r="H1864" t="n">
        <x:f>IF(G1864&lt;$B$6,1,0)</x:f>
        <x:v>0</x:v>
      </x:c>
      <x:c r="I1864" s="26" t="n">
        <x:f>H1864*IF(F1864=0,E1864*$B$7,-E1864*$B$8)</x:f>
        <x:v>0</x:v>
      </x:c>
    </x:row>
    <x:row r="1865">
      <x:c r="A1865" t="n">
        <x:v>5877</x:v>
      </x:c>
      <x:c r="B1865" t="str">
        <x:v>2024-11</x:v>
      </x:c>
      <x:c r="C1865" t="str">
        <x:v>Salaried</x:v>
      </x:c>
      <x:c r="D1865" t="str">
        <x:v>Group B</x:v>
      </x:c>
      <x:c r="E1865" s="26" t="n">
        <x:v>4771.44</x:v>
      </x:c>
      <x:c r="F1865" t="n">
        <x:v>0</x:v>
      </x:c>
      <x:c r="G1865" s="25" t="n">
        <x:v>0.05917</x:v>
      </x:c>
      <x:c r="H1865" t="n">
        <x:f>IF(G1865&lt;$B$6,1,0)</x:f>
        <x:v>1</x:v>
      </x:c>
      <x:c r="I1865" s="26" t="n">
        <x:f>H1865*IF(F1865=0,E1865*$B$7,-E1865*$B$8)</x:f>
        <x:v>572.5727999999999</x:v>
      </x:c>
    </x:row>
    <x:row r="1866">
      <x:c r="A1866" t="n">
        <x:v>5893</x:v>
      </x:c>
      <x:c r="B1866" t="str">
        <x:v>2024-11</x:v>
      </x:c>
      <x:c r="C1866" t="str">
        <x:v>Self employed</x:v>
      </x:c>
      <x:c r="D1866" t="str">
        <x:v>Group A</x:v>
      </x:c>
      <x:c r="E1866" s="26" t="n">
        <x:v>19830.72</x:v>
      </x:c>
      <x:c r="F1866" t="n">
        <x:v>1</x:v>
      </x:c>
      <x:c r="G1866" s="25" t="n">
        <x:v>0.337849</x:v>
      </x:c>
      <x:c r="H1866" t="n">
        <x:f>IF(G1866&lt;$B$6,1,0)</x:f>
        <x:v>0</x:v>
      </x:c>
      <x:c r="I1866" s="26" t="n">
        <x:f>H1866*IF(F1866=0,E1866*$B$7,-E1866*$B$8)</x:f>
        <x:v>0</x:v>
      </x:c>
    </x:row>
    <x:row r="1867">
      <x:c r="A1867" t="n">
        <x:v>5973</x:v>
      </x:c>
      <x:c r="B1867" t="str">
        <x:v>2024-11</x:v>
      </x:c>
      <x:c r="C1867" t="str">
        <x:v>Salaried</x:v>
      </x:c>
      <x:c r="D1867" t="str">
        <x:v>Group B</x:v>
      </x:c>
      <x:c r="E1867" s="26" t="n">
        <x:v>8690.29</x:v>
      </x:c>
      <x:c r="F1867" t="n">
        <x:v>0</x:v>
      </x:c>
      <x:c r="G1867" s="25" t="n">
        <x:v>0.040403</x:v>
      </x:c>
      <x:c r="H1867" t="n">
        <x:f>IF(G1867&lt;$B$6,1,0)</x:f>
        <x:v>1</x:v>
      </x:c>
      <x:c r="I1867" s="26" t="n">
        <x:f>H1867*IF(F1867=0,E1867*$B$7,-E1867*$B$8)</x:f>
        <x:v>1042.8348</x:v>
      </x:c>
    </x:row>
    <x:row r="1868">
      <x:c r="A1868" t="n">
        <x:v>6009</x:v>
      </x:c>
      <x:c r="B1868" t="str">
        <x:v>2024-11</x:v>
      </x:c>
      <x:c r="C1868" t="str">
        <x:v>Salaried</x:v>
      </x:c>
      <x:c r="D1868" t="str">
        <x:v>Group A</x:v>
      </x:c>
      <x:c r="E1868" s="26" t="n">
        <x:v>9298.15</x:v>
      </x:c>
      <x:c r="F1868" t="n">
        <x:v>0</x:v>
      </x:c>
      <x:c r="G1868" s="25" t="n">
        <x:v>0.044921</x:v>
      </x:c>
      <x:c r="H1868" t="n">
        <x:f>IF(G1868&lt;$B$6,1,0)</x:f>
        <x:v>1</x:v>
      </x:c>
      <x:c r="I1868" s="26" t="n">
        <x:f>H1868*IF(F1868=0,E1868*$B$7,-E1868*$B$8)</x:f>
        <x:v>1115.778</x:v>
      </x:c>
    </x:row>
    <x:row r="1869">
      <x:c r="A1869" t="n">
        <x:v>6046</x:v>
      </x:c>
      <x:c r="B1869" t="str">
        <x:v>2024-11</x:v>
      </x:c>
      <x:c r="C1869" t="str">
        <x:v>Salaried</x:v>
      </x:c>
      <x:c r="D1869" t="str">
        <x:v>Group B</x:v>
      </x:c>
      <x:c r="E1869" s="26" t="n">
        <x:v>13451.89</x:v>
      </x:c>
      <x:c r="F1869" t="n">
        <x:v>0</x:v>
      </x:c>
      <x:c r="G1869" s="25" t="n">
        <x:v>0.301566</x:v>
      </x:c>
      <x:c r="H1869" t="n">
        <x:f>IF(G1869&lt;$B$6,1,0)</x:f>
        <x:v>0</x:v>
      </x:c>
      <x:c r="I1869" s="26" t="n">
        <x:f>H1869*IF(F1869=0,E1869*$B$7,-E1869*$B$8)</x:f>
        <x:v>0</x:v>
      </x:c>
    </x:row>
    <x:row r="1870">
      <x:c r="A1870" t="n">
        <x:v>6092</x:v>
      </x:c>
      <x:c r="B1870" t="str">
        <x:v>2024-11</x:v>
      </x:c>
      <x:c r="C1870" t="str">
        <x:v>Salaried</x:v>
      </x:c>
      <x:c r="D1870" t="str">
        <x:v>Group B</x:v>
      </x:c>
      <x:c r="E1870" s="26" t="n">
        <x:v>7831.72</x:v>
      </x:c>
      <x:c r="F1870" t="n">
        <x:v>0</x:v>
      </x:c>
      <x:c r="G1870" s="25" t="n">
        <x:v>0.171281</x:v>
      </x:c>
      <x:c r="H1870" t="n">
        <x:f>IF(G1870&lt;$B$6,1,0)</x:f>
        <x:v>0</x:v>
      </x:c>
      <x:c r="I1870" s="26" t="n">
        <x:f>H1870*IF(F1870=0,E1870*$B$7,-E1870*$B$8)</x:f>
        <x:v>0</x:v>
      </x:c>
    </x:row>
    <x:row r="1871">
      <x:c r="A1871" t="n">
        <x:v>6108</x:v>
      </x:c>
      <x:c r="B1871" t="str">
        <x:v>2024-11</x:v>
      </x:c>
      <x:c r="C1871" t="str">
        <x:v>Self employed</x:v>
      </x:c>
      <x:c r="D1871" t="str">
        <x:v>Group B</x:v>
      </x:c>
      <x:c r="E1871" s="26" t="n">
        <x:v>56944.55</x:v>
      </x:c>
      <x:c r="F1871" t="n">
        <x:v>0</x:v>
      </x:c>
      <x:c r="G1871" s="25" t="n">
        <x:v>0.131569</x:v>
      </x:c>
      <x:c r="H1871" t="n">
        <x:f>IF(G1871&lt;$B$6,1,0)</x:f>
        <x:v>1</x:v>
      </x:c>
      <x:c r="I1871" s="26" t="n">
        <x:f>H1871*IF(F1871=0,E1871*$B$7,-E1871*$B$8)</x:f>
        <x:v>6833.3460000000005</x:v>
      </x:c>
    </x:row>
    <x:row r="1872">
      <x:c r="A1872" t="n">
        <x:v>6135</x:v>
      </x:c>
      <x:c r="B1872" t="str">
        <x:v>2024-11</x:v>
      </x:c>
      <x:c r="C1872" t="str">
        <x:v>Salaried</x:v>
      </x:c>
      <x:c r="D1872" t="str">
        <x:v>Group B</x:v>
      </x:c>
      <x:c r="E1872" s="26" t="n">
        <x:v>10392.44</x:v>
      </x:c>
      <x:c r="F1872" t="n">
        <x:v>0</x:v>
      </x:c>
      <x:c r="G1872" s="25" t="n">
        <x:v>0.141499</x:v>
      </x:c>
      <x:c r="H1872" t="n">
        <x:f>IF(G1872&lt;$B$6,1,0)</x:f>
        <x:v>1</x:v>
      </x:c>
      <x:c r="I1872" s="26" t="n">
        <x:f>H1872*IF(F1872=0,E1872*$B$7,-E1872*$B$8)</x:f>
        <x:v>1247.0928000000001</x:v>
      </x:c>
    </x:row>
    <x:row r="1873">
      <x:c r="A1873" t="n">
        <x:v>6141</x:v>
      </x:c>
      <x:c r="B1873" t="str">
        <x:v>2024-11</x:v>
      </x:c>
      <x:c r="C1873" t="str">
        <x:v>Contract</x:v>
      </x:c>
      <x:c r="D1873" t="str">
        <x:v>Group B</x:v>
      </x:c>
      <x:c r="E1873" s="26" t="n">
        <x:v>24310.22</x:v>
      </x:c>
      <x:c r="F1873" t="n">
        <x:v>0</x:v>
      </x:c>
      <x:c r="G1873" s="25" t="n">
        <x:v>0.048201</x:v>
      </x:c>
      <x:c r="H1873" t="n">
        <x:f>IF(G1873&lt;$B$6,1,0)</x:f>
        <x:v>1</x:v>
      </x:c>
      <x:c r="I1873" s="26" t="n">
        <x:f>H1873*IF(F1873=0,E1873*$B$7,-E1873*$B$8)</x:f>
        <x:v>2917.2264</x:v>
      </x:c>
    </x:row>
    <x:row r="1874">
      <x:c r="A1874" t="n">
        <x:v>6182</x:v>
      </x:c>
      <x:c r="B1874" t="str">
        <x:v>2024-11</x:v>
      </x:c>
      <x:c r="C1874" t="str">
        <x:v>Salaried</x:v>
      </x:c>
      <x:c r="D1874" t="str">
        <x:v>Group B</x:v>
      </x:c>
      <x:c r="E1874" s="26" t="n">
        <x:v>17559.59</x:v>
      </x:c>
      <x:c r="F1874" t="n">
        <x:v>0</x:v>
      </x:c>
      <x:c r="G1874" s="25" t="n">
        <x:v>0.142668</x:v>
      </x:c>
      <x:c r="H1874" t="n">
        <x:f>IF(G1874&lt;$B$6,1,0)</x:f>
        <x:v>1</x:v>
      </x:c>
      <x:c r="I1874" s="26" t="n">
        <x:f>H1874*IF(F1874=0,E1874*$B$7,-E1874*$B$8)</x:f>
        <x:v>2107.1508</x:v>
      </x:c>
    </x:row>
    <x:row r="1875">
      <x:c r="A1875" t="n">
        <x:v>6193</x:v>
      </x:c>
      <x:c r="B1875" t="str">
        <x:v>2024-11</x:v>
      </x:c>
      <x:c r="C1875" t="str">
        <x:v>Salaried</x:v>
      </x:c>
      <x:c r="D1875" t="str">
        <x:v>Group A</x:v>
      </x:c>
      <x:c r="E1875" s="26" t="n">
        <x:v>49069.2</x:v>
      </x:c>
      <x:c r="F1875" t="n">
        <x:v>0</x:v>
      </x:c>
      <x:c r="G1875" s="25" t="n">
        <x:v>0.186311</x:v>
      </x:c>
      <x:c r="H1875" t="n">
        <x:f>IF(G1875&lt;$B$6,1,0)</x:f>
        <x:v>0</x:v>
      </x:c>
      <x:c r="I1875" s="26" t="n">
        <x:f>H1875*IF(F1875=0,E1875*$B$7,-E1875*$B$8)</x:f>
        <x:v>0</x:v>
      </x:c>
    </x:row>
    <x:row r="1876">
      <x:c r="A1876" t="n">
        <x:v>6216</x:v>
      </x:c>
      <x:c r="B1876" t="str">
        <x:v>2024-11</x:v>
      </x:c>
      <x:c r="C1876" t="str">
        <x:v>Salaried</x:v>
      </x:c>
      <x:c r="D1876" t="str">
        <x:v>Group B</x:v>
      </x:c>
      <x:c r="E1876" s="26" t="n">
        <x:v>16670.07</x:v>
      </x:c>
      <x:c r="F1876" t="n">
        <x:v>0</x:v>
      </x:c>
      <x:c r="G1876" s="25" t="n">
        <x:v>0.096653</x:v>
      </x:c>
      <x:c r="H1876" t="n">
        <x:f>IF(G1876&lt;$B$6,1,0)</x:f>
        <x:v>1</x:v>
      </x:c>
      <x:c r="I1876" s="26" t="n">
        <x:f>H1876*IF(F1876=0,E1876*$B$7,-E1876*$B$8)</x:f>
        <x:v>2000.4083999999998</x:v>
      </x:c>
    </x:row>
    <x:row r="1877">
      <x:c r="A1877" t="n">
        <x:v>6218</x:v>
      </x:c>
      <x:c r="B1877" t="str">
        <x:v>2024-11</x:v>
      </x:c>
      <x:c r="C1877" t="str">
        <x:v>Salaried</x:v>
      </x:c>
      <x:c r="D1877" t="str">
        <x:v>Group B</x:v>
      </x:c>
      <x:c r="E1877" s="26" t="n">
        <x:v>3591.87</x:v>
      </x:c>
      <x:c r="F1877" t="n">
        <x:v>0</x:v>
      </x:c>
      <x:c r="G1877" s="25" t="n">
        <x:v>0.225466</x:v>
      </x:c>
      <x:c r="H1877" t="n">
        <x:f>IF(G1877&lt;$B$6,1,0)</x:f>
        <x:v>0</x:v>
      </x:c>
      <x:c r="I1877" s="26" t="n">
        <x:f>H1877*IF(F1877=0,E1877*$B$7,-E1877*$B$8)</x:f>
        <x:v>0</x:v>
      </x:c>
    </x:row>
    <x:row r="1878">
      <x:c r="A1878" t="n">
        <x:v>6232</x:v>
      </x:c>
      <x:c r="B1878" t="str">
        <x:v>2024-11</x:v>
      </x:c>
      <x:c r="C1878" t="str">
        <x:v>Salaried</x:v>
      </x:c>
      <x:c r="D1878" t="str">
        <x:v>Group B</x:v>
      </x:c>
      <x:c r="E1878" s="26" t="n">
        <x:v>11951.19</x:v>
      </x:c>
      <x:c r="F1878" t="n">
        <x:v>1</x:v>
      </x:c>
      <x:c r="G1878" s="25" t="n">
        <x:v>0.374668</x:v>
      </x:c>
      <x:c r="H1878" t="n">
        <x:f>IF(G1878&lt;$B$6,1,0)</x:f>
        <x:v>0</x:v>
      </x:c>
      <x:c r="I1878" s="26" t="n">
        <x:f>H1878*IF(F1878=0,E1878*$B$7,-E1878*$B$8)</x:f>
        <x:v>0</x:v>
      </x:c>
    </x:row>
    <x:row r="1879">
      <x:c r="A1879" t="n">
        <x:v>6240</x:v>
      </x:c>
      <x:c r="B1879" t="str">
        <x:v>2024-11</x:v>
      </x:c>
      <x:c r="C1879" t="str">
        <x:v>Salaried</x:v>
      </x:c>
      <x:c r="D1879" t="str">
        <x:v>Group A</x:v>
      </x:c>
      <x:c r="E1879" s="26" t="n">
        <x:v>6483.25</x:v>
      </x:c>
      <x:c r="F1879" t="n">
        <x:v>0</x:v>
      </x:c>
      <x:c r="G1879" s="25" t="n">
        <x:v>0.021265</x:v>
      </x:c>
      <x:c r="H1879" t="n">
        <x:f>IF(G1879&lt;$B$6,1,0)</x:f>
        <x:v>1</x:v>
      </x:c>
      <x:c r="I1879" s="26" t="n">
        <x:f>H1879*IF(F1879=0,E1879*$B$7,-E1879*$B$8)</x:f>
        <x:v>777.99</x:v>
      </x:c>
    </x:row>
    <x:row r="1880">
      <x:c r="A1880" t="n">
        <x:v>6258</x:v>
      </x:c>
      <x:c r="B1880" t="str">
        <x:v>2024-11</x:v>
      </x:c>
      <x:c r="C1880" t="str">
        <x:v>Contract</x:v>
      </x:c>
      <x:c r="D1880" t="str">
        <x:v>Group A</x:v>
      </x:c>
      <x:c r="E1880" s="26" t="n">
        <x:v>6454.88</x:v>
      </x:c>
      <x:c r="F1880" t="n">
        <x:v>0</x:v>
      </x:c>
      <x:c r="G1880" s="25" t="n">
        <x:v>0.256269</x:v>
      </x:c>
      <x:c r="H1880" t="n">
        <x:f>IF(G1880&lt;$B$6,1,0)</x:f>
        <x:v>0</x:v>
      </x:c>
      <x:c r="I1880" s="26" t="n">
        <x:f>H1880*IF(F1880=0,E1880*$B$7,-E1880*$B$8)</x:f>
        <x:v>0</x:v>
      </x:c>
    </x:row>
    <x:row r="1881">
      <x:c r="A1881" t="n">
        <x:v>6314</x:v>
      </x:c>
      <x:c r="B1881" t="str">
        <x:v>2024-11</x:v>
      </x:c>
      <x:c r="C1881" t="str">
        <x:v>Salaried</x:v>
      </x:c>
      <x:c r="D1881" t="str">
        <x:v>Group A</x:v>
      </x:c>
      <x:c r="E1881" s="26" t="n">
        <x:v>13518.87</x:v>
      </x:c>
      <x:c r="F1881" t="n">
        <x:v>0</x:v>
      </x:c>
      <x:c r="G1881" s="25" t="n">
        <x:v>0.296938</x:v>
      </x:c>
      <x:c r="H1881" t="n">
        <x:f>IF(G1881&lt;$B$6,1,0)</x:f>
        <x:v>0</x:v>
      </x:c>
      <x:c r="I1881" s="26" t="n">
        <x:f>H1881*IF(F1881=0,E1881*$B$7,-E1881*$B$8)</x:f>
        <x:v>0</x:v>
      </x:c>
    </x:row>
    <x:row r="1882">
      <x:c r="A1882" t="n">
        <x:v>6326</x:v>
      </x:c>
      <x:c r="B1882" t="str">
        <x:v>2024-11</x:v>
      </x:c>
      <x:c r="C1882" t="str">
        <x:v>Contract</x:v>
      </x:c>
      <x:c r="D1882" t="str">
        <x:v>Group B</x:v>
      </x:c>
      <x:c r="E1882" s="26" t="n">
        <x:v>21448.06</x:v>
      </x:c>
      <x:c r="F1882" t="n">
        <x:v>0</x:v>
      </x:c>
      <x:c r="G1882" s="25" t="n">
        <x:v>0.256415</x:v>
      </x:c>
      <x:c r="H1882" t="n">
        <x:f>IF(G1882&lt;$B$6,1,0)</x:f>
        <x:v>0</x:v>
      </x:c>
      <x:c r="I1882" s="26" t="n">
        <x:f>H1882*IF(F1882=0,E1882*$B$7,-E1882*$B$8)</x:f>
        <x:v>0</x:v>
      </x:c>
    </x:row>
    <x:row r="1883">
      <x:c r="A1883" t="n">
        <x:v>6338</x:v>
      </x:c>
      <x:c r="B1883" t="str">
        <x:v>2024-11</x:v>
      </x:c>
      <x:c r="C1883" t="str">
        <x:v>Salaried</x:v>
      </x:c>
      <x:c r="D1883" t="str">
        <x:v>Group B</x:v>
      </x:c>
      <x:c r="E1883" s="26" t="n">
        <x:v>11190.21</x:v>
      </x:c>
      <x:c r="F1883" t="n">
        <x:v>1</x:v>
      </x:c>
      <x:c r="G1883" s="25" t="n">
        <x:v>0.324499</x:v>
      </x:c>
      <x:c r="H1883" t="n">
        <x:f>IF(G1883&lt;$B$6,1,0)</x:f>
        <x:v>0</x:v>
      </x:c>
      <x:c r="I1883" s="26" t="n">
        <x:f>H1883*IF(F1883=0,E1883*$B$7,-E1883*$B$8)</x:f>
        <x:v>0</x:v>
      </x:c>
    </x:row>
    <x:row r="1884">
      <x:c r="A1884" t="n">
        <x:v>6350</x:v>
      </x:c>
      <x:c r="B1884" t="str">
        <x:v>2024-11</x:v>
      </x:c>
      <x:c r="C1884" t="str">
        <x:v>Salaried</x:v>
      </x:c>
      <x:c r="D1884" t="str">
        <x:v>Group A</x:v>
      </x:c>
      <x:c r="E1884" s="26" t="n">
        <x:v>15567.22</x:v>
      </x:c>
      <x:c r="F1884" t="n">
        <x:v>0</x:v>
      </x:c>
      <x:c r="G1884" s="25" t="n">
        <x:v>0.063381</x:v>
      </x:c>
      <x:c r="H1884" t="n">
        <x:f>IF(G1884&lt;$B$6,1,0)</x:f>
        <x:v>1</x:v>
      </x:c>
      <x:c r="I1884" s="26" t="n">
        <x:f>H1884*IF(F1884=0,E1884*$B$7,-E1884*$B$8)</x:f>
        <x:v>1868.0664</x:v>
      </x:c>
    </x:row>
    <x:row r="1885">
      <x:c r="A1885" t="n">
        <x:v>6407</x:v>
      </x:c>
      <x:c r="B1885" t="str">
        <x:v>2024-11</x:v>
      </x:c>
      <x:c r="C1885" t="str">
        <x:v>Salaried</x:v>
      </x:c>
      <x:c r="D1885" t="str">
        <x:v>Group A</x:v>
      </x:c>
      <x:c r="E1885" s="26" t="n">
        <x:v>11284.88</x:v>
      </x:c>
      <x:c r="F1885" t="n">
        <x:v>0</x:v>
      </x:c>
      <x:c r="G1885" s="25" t="n">
        <x:v>0.040137</x:v>
      </x:c>
      <x:c r="H1885" t="n">
        <x:f>IF(G1885&lt;$B$6,1,0)</x:f>
        <x:v>1</x:v>
      </x:c>
      <x:c r="I1885" s="26" t="n">
        <x:f>H1885*IF(F1885=0,E1885*$B$7,-E1885*$B$8)</x:f>
        <x:v>1354.1855999999998</x:v>
      </x:c>
    </x:row>
    <x:row r="1886">
      <x:c r="A1886" t="n">
        <x:v>6410</x:v>
      </x:c>
      <x:c r="B1886" t="str">
        <x:v>2024-11</x:v>
      </x:c>
      <x:c r="C1886" t="str">
        <x:v>Self employed</x:v>
      </x:c>
      <x:c r="D1886" t="str">
        <x:v>Group B</x:v>
      </x:c>
      <x:c r="E1886" s="26" t="n">
        <x:v>13158.69</x:v>
      </x:c>
      <x:c r="F1886" t="n">
        <x:v>0</x:v>
      </x:c>
      <x:c r="G1886" s="25" t="n">
        <x:v>0.052487</x:v>
      </x:c>
      <x:c r="H1886" t="n">
        <x:f>IF(G1886&lt;$B$6,1,0)</x:f>
        <x:v>1</x:v>
      </x:c>
      <x:c r="I1886" s="26" t="n">
        <x:f>H1886*IF(F1886=0,E1886*$B$7,-E1886*$B$8)</x:f>
        <x:v>1579.0428</x:v>
      </x:c>
    </x:row>
    <x:row r="1887">
      <x:c r="A1887" t="n">
        <x:v>6426</x:v>
      </x:c>
      <x:c r="B1887" t="str">
        <x:v>2024-11</x:v>
      </x:c>
      <x:c r="C1887" t="str">
        <x:v>Salaried</x:v>
      </x:c>
      <x:c r="D1887" t="str">
        <x:v>Group B</x:v>
      </x:c>
      <x:c r="E1887" s="26" t="n">
        <x:v>47301.53</x:v>
      </x:c>
      <x:c r="F1887" t="n">
        <x:v>0</x:v>
      </x:c>
      <x:c r="G1887" s="25" t="n">
        <x:v>0.105493</x:v>
      </x:c>
      <x:c r="H1887" t="n">
        <x:f>IF(G1887&lt;$B$6,1,0)</x:f>
        <x:v>1</x:v>
      </x:c>
      <x:c r="I1887" s="26" t="n">
        <x:f>H1887*IF(F1887=0,E1887*$B$7,-E1887*$B$8)</x:f>
        <x:v>5676.183599999999</x:v>
      </x:c>
    </x:row>
    <x:row r="1888">
      <x:c r="A1888" t="n">
        <x:v>6430</x:v>
      </x:c>
      <x:c r="B1888" t="str">
        <x:v>2024-11</x:v>
      </x:c>
      <x:c r="C1888" t="str">
        <x:v>Salaried</x:v>
      </x:c>
      <x:c r="D1888" t="str">
        <x:v>Group B</x:v>
      </x:c>
      <x:c r="E1888" s="26" t="n">
        <x:v>7539.57</x:v>
      </x:c>
      <x:c r="F1888" t="n">
        <x:v>0</x:v>
      </x:c>
      <x:c r="G1888" s="25" t="n">
        <x:v>0.211965</x:v>
      </x:c>
      <x:c r="H1888" t="n">
        <x:f>IF(G1888&lt;$B$6,1,0)</x:f>
        <x:v>0</x:v>
      </x:c>
      <x:c r="I1888" s="26" t="n">
        <x:f>H1888*IF(F1888=0,E1888*$B$7,-E1888*$B$8)</x:f>
        <x:v>0</x:v>
      </x:c>
    </x:row>
    <x:row r="1889">
      <x:c r="A1889" t="n">
        <x:v>6434</x:v>
      </x:c>
      <x:c r="B1889" t="str">
        <x:v>2024-11</x:v>
      </x:c>
      <x:c r="C1889" t="str">
        <x:v>Salaried</x:v>
      </x:c>
      <x:c r="D1889" t="str">
        <x:v>Group B</x:v>
      </x:c>
      <x:c r="E1889" s="26" t="n">
        <x:v>66792.77</x:v>
      </x:c>
      <x:c r="F1889" t="n">
        <x:v>1</x:v>
      </x:c>
      <x:c r="G1889" s="25" t="n">
        <x:v>0.317962</x:v>
      </x:c>
      <x:c r="H1889" t="n">
        <x:f>IF(G1889&lt;$B$6,1,0)</x:f>
        <x:v>0</x:v>
      </x:c>
      <x:c r="I1889" s="26" t="n">
        <x:f>H1889*IF(F1889=0,E1889*$B$7,-E1889*$B$8)</x:f>
        <x:v>0</x:v>
      </x:c>
    </x:row>
    <x:row r="1890">
      <x:c r="A1890" t="n">
        <x:v>6444</x:v>
      </x:c>
      <x:c r="B1890" t="str">
        <x:v>2024-11</x:v>
      </x:c>
      <x:c r="C1890" t="str">
        <x:v>Self employed</x:v>
      </x:c>
      <x:c r="D1890" t="str">
        <x:v>Group A</x:v>
      </x:c>
      <x:c r="E1890" s="26" t="n">
        <x:v>12766.95</x:v>
      </x:c>
      <x:c r="F1890" t="n">
        <x:v>1</x:v>
      </x:c>
      <x:c r="G1890" s="25" t="n">
        <x:v>0.252505</x:v>
      </x:c>
      <x:c r="H1890" t="n">
        <x:f>IF(G1890&lt;$B$6,1,0)</x:f>
        <x:v>0</x:v>
      </x:c>
      <x:c r="I1890" s="26" t="n">
        <x:f>H1890*IF(F1890=0,E1890*$B$7,-E1890*$B$8)</x:f>
        <x:v>0</x:v>
      </x:c>
    </x:row>
    <x:row r="1891">
      <x:c r="A1891" t="n">
        <x:v>6494</x:v>
      </x:c>
      <x:c r="B1891" t="str">
        <x:v>2024-11</x:v>
      </x:c>
      <x:c r="C1891" t="str">
        <x:v>Contract</x:v>
      </x:c>
      <x:c r="D1891" t="str">
        <x:v>Group A</x:v>
      </x:c>
      <x:c r="E1891" s="26" t="n">
        <x:v>16116.32</x:v>
      </x:c>
      <x:c r="F1891" t="n">
        <x:v>0</x:v>
      </x:c>
      <x:c r="G1891" s="25" t="n">
        <x:v>0.308723</x:v>
      </x:c>
      <x:c r="H1891" t="n">
        <x:f>IF(G1891&lt;$B$6,1,0)</x:f>
        <x:v>0</x:v>
      </x:c>
      <x:c r="I1891" s="26" t="n">
        <x:f>H1891*IF(F1891=0,E1891*$B$7,-E1891*$B$8)</x:f>
        <x:v>0</x:v>
      </x:c>
    </x:row>
    <x:row r="1892">
      <x:c r="A1892" t="n">
        <x:v>6534</x:v>
      </x:c>
      <x:c r="B1892" t="str">
        <x:v>2024-11</x:v>
      </x:c>
      <x:c r="C1892" t="str">
        <x:v>Salaried</x:v>
      </x:c>
      <x:c r="D1892" t="str">
        <x:v>Group B</x:v>
      </x:c>
      <x:c r="E1892" s="26" t="n">
        <x:v>13357.57</x:v>
      </x:c>
      <x:c r="F1892" t="n">
        <x:v>1</x:v>
      </x:c>
      <x:c r="G1892" s="25" t="n">
        <x:v>0.699013</x:v>
      </x:c>
      <x:c r="H1892" t="n">
        <x:f>IF(G1892&lt;$B$6,1,0)</x:f>
        <x:v>0</x:v>
      </x:c>
      <x:c r="I1892" s="26" t="n">
        <x:f>H1892*IF(F1892=0,E1892*$B$7,-E1892*$B$8)</x:f>
        <x:v>0</x:v>
      </x:c>
    </x:row>
    <x:row r="1893">
      <x:c r="A1893" t="n">
        <x:v>6546</x:v>
      </x:c>
      <x:c r="B1893" t="str">
        <x:v>2024-11</x:v>
      </x:c>
      <x:c r="C1893" t="str">
        <x:v>Contract</x:v>
      </x:c>
      <x:c r="D1893" t="str">
        <x:v>Group A</x:v>
      </x:c>
      <x:c r="E1893" s="26" t="n">
        <x:v>35208.95</x:v>
      </x:c>
      <x:c r="F1893" t="n">
        <x:v>0</x:v>
      </x:c>
      <x:c r="G1893" s="25" t="n">
        <x:v>0.438458</x:v>
      </x:c>
      <x:c r="H1893" t="n">
        <x:f>IF(G1893&lt;$B$6,1,0)</x:f>
        <x:v>0</x:v>
      </x:c>
      <x:c r="I1893" s="26" t="n">
        <x:f>H1893*IF(F1893=0,E1893*$B$7,-E1893*$B$8)</x:f>
        <x:v>0</x:v>
      </x:c>
    </x:row>
    <x:row r="1894">
      <x:c r="A1894" t="n">
        <x:v>6557</x:v>
      </x:c>
      <x:c r="B1894" t="str">
        <x:v>2024-11</x:v>
      </x:c>
      <x:c r="C1894" t="str">
        <x:v>Contract</x:v>
      </x:c>
      <x:c r="D1894" t="str">
        <x:v>Group A</x:v>
      </x:c>
      <x:c r="E1894" s="26" t="n">
        <x:v>14867.73</x:v>
      </x:c>
      <x:c r="F1894" t="n">
        <x:v>0</x:v>
      </x:c>
      <x:c r="G1894" s="25" t="n">
        <x:v>0.107803</x:v>
      </x:c>
      <x:c r="H1894" t="n">
        <x:f>IF(G1894&lt;$B$6,1,0)</x:f>
        <x:v>1</x:v>
      </x:c>
      <x:c r="I1894" s="26" t="n">
        <x:f>H1894*IF(F1894=0,E1894*$B$7,-E1894*$B$8)</x:f>
        <x:v>1784.1275999999998</x:v>
      </x:c>
    </x:row>
    <x:row r="1895">
      <x:c r="A1895" t="n">
        <x:v>6582</x:v>
      </x:c>
      <x:c r="B1895" t="str">
        <x:v>2024-11</x:v>
      </x:c>
      <x:c r="C1895" t="str">
        <x:v>Self employed</x:v>
      </x:c>
      <x:c r="D1895" t="str">
        <x:v>Group A</x:v>
      </x:c>
      <x:c r="E1895" s="26" t="n">
        <x:v>31602.91</x:v>
      </x:c>
      <x:c r="F1895" t="n">
        <x:v>0</x:v>
      </x:c>
      <x:c r="G1895" s="25" t="n">
        <x:v>0.549244</x:v>
      </x:c>
      <x:c r="H1895" t="n">
        <x:f>IF(G1895&lt;$B$6,1,0)</x:f>
        <x:v>0</x:v>
      </x:c>
      <x:c r="I1895" s="26" t="n">
        <x:f>H1895*IF(F1895=0,E1895*$B$7,-E1895*$B$8)</x:f>
        <x:v>0</x:v>
      </x:c>
    </x:row>
    <x:row r="1896">
      <x:c r="A1896" t="n">
        <x:v>6601</x:v>
      </x:c>
      <x:c r="B1896" t="str">
        <x:v>2024-11</x:v>
      </x:c>
      <x:c r="C1896" t="str">
        <x:v>Salaried</x:v>
      </x:c>
      <x:c r="D1896" t="str">
        <x:v>Group A</x:v>
      </x:c>
      <x:c r="E1896" s="26" t="n">
        <x:v>23722.05</x:v>
      </x:c>
      <x:c r="F1896" t="n">
        <x:v>0</x:v>
      </x:c>
      <x:c r="G1896" s="25" t="n">
        <x:v>0.051239</x:v>
      </x:c>
      <x:c r="H1896" t="n">
        <x:f>IF(G1896&lt;$B$6,1,0)</x:f>
        <x:v>1</x:v>
      </x:c>
      <x:c r="I1896" s="26" t="n">
        <x:f>H1896*IF(F1896=0,E1896*$B$7,-E1896*$B$8)</x:f>
        <x:v>2846.6459999999997</x:v>
      </x:c>
    </x:row>
    <x:row r="1897">
      <x:c r="A1897" t="n">
        <x:v>6618</x:v>
      </x:c>
      <x:c r="B1897" t="str">
        <x:v>2024-11</x:v>
      </x:c>
      <x:c r="C1897" t="str">
        <x:v>Salaried</x:v>
      </x:c>
      <x:c r="D1897" t="str">
        <x:v>Group B</x:v>
      </x:c>
      <x:c r="E1897" s="26" t="n">
        <x:v>30927.45</x:v>
      </x:c>
      <x:c r="F1897" t="n">
        <x:v>0</x:v>
      </x:c>
      <x:c r="G1897" s="25" t="n">
        <x:v>0.142293</x:v>
      </x:c>
      <x:c r="H1897" t="n">
        <x:f>IF(G1897&lt;$B$6,1,0)</x:f>
        <x:v>1</x:v>
      </x:c>
      <x:c r="I1897" s="26" t="n">
        <x:f>H1897*IF(F1897=0,E1897*$B$7,-E1897*$B$8)</x:f>
        <x:v>3711.294</x:v>
      </x:c>
    </x:row>
    <x:row r="1898">
      <x:c r="A1898" t="n">
        <x:v>6645</x:v>
      </x:c>
      <x:c r="B1898" t="str">
        <x:v>2024-11</x:v>
      </x:c>
      <x:c r="C1898" t="str">
        <x:v>Salaried</x:v>
      </x:c>
      <x:c r="D1898" t="str">
        <x:v>Group B</x:v>
      </x:c>
      <x:c r="E1898" s="26" t="n">
        <x:v>36993.57</x:v>
      </x:c>
      <x:c r="F1898" t="n">
        <x:v>0</x:v>
      </x:c>
      <x:c r="G1898" s="25" t="n">
        <x:v>0.189165</x:v>
      </x:c>
      <x:c r="H1898" t="n">
        <x:f>IF(G1898&lt;$B$6,1,0)</x:f>
        <x:v>0</x:v>
      </x:c>
      <x:c r="I1898" s="26" t="n">
        <x:f>H1898*IF(F1898=0,E1898*$B$7,-E1898*$B$8)</x:f>
        <x:v>0</x:v>
      </x:c>
    </x:row>
    <x:row r="1899">
      <x:c r="A1899" t="n">
        <x:v>6666</x:v>
      </x:c>
      <x:c r="B1899" t="str">
        <x:v>2024-11</x:v>
      </x:c>
      <x:c r="C1899" t="str">
        <x:v>Self employed</x:v>
      </x:c>
      <x:c r="D1899" t="str">
        <x:v>Group B</x:v>
      </x:c>
      <x:c r="E1899" s="26" t="n">
        <x:v>5784.07</x:v>
      </x:c>
      <x:c r="F1899" t="n">
        <x:v>1</x:v>
      </x:c>
      <x:c r="G1899" s="25" t="n">
        <x:v>0.171369</x:v>
      </x:c>
      <x:c r="H1899" t="n">
        <x:f>IF(G1899&lt;$B$6,1,0)</x:f>
        <x:v>0</x:v>
      </x:c>
      <x:c r="I1899" s="26" t="n">
        <x:f>H1899*IF(F1899=0,E1899*$B$7,-E1899*$B$8)</x:f>
        <x:v>0</x:v>
      </x:c>
    </x:row>
    <x:row r="1900">
      <x:c r="A1900" t="n">
        <x:v>6681</x:v>
      </x:c>
      <x:c r="B1900" t="str">
        <x:v>2024-11</x:v>
      </x:c>
      <x:c r="C1900" t="str">
        <x:v>Contract</x:v>
      </x:c>
      <x:c r="D1900" t="str">
        <x:v>Group A</x:v>
      </x:c>
      <x:c r="E1900" s="26" t="n">
        <x:v>25918.49</x:v>
      </x:c>
      <x:c r="F1900" t="n">
        <x:v>0</x:v>
      </x:c>
      <x:c r="G1900" s="25" t="n">
        <x:v>0.5491</x:v>
      </x:c>
      <x:c r="H1900" t="n">
        <x:f>IF(G1900&lt;$B$6,1,0)</x:f>
        <x:v>0</x:v>
      </x:c>
      <x:c r="I1900" s="26" t="n">
        <x:f>H1900*IF(F1900=0,E1900*$B$7,-E1900*$B$8)</x:f>
        <x:v>0</x:v>
      </x:c>
    </x:row>
    <x:row r="1901">
      <x:c r="A1901" t="n">
        <x:v>6689</x:v>
      </x:c>
      <x:c r="B1901" t="str">
        <x:v>2024-11</x:v>
      </x:c>
      <x:c r="C1901" t="str">
        <x:v>Salaried</x:v>
      </x:c>
      <x:c r="D1901" t="str">
        <x:v>Group B</x:v>
      </x:c>
      <x:c r="E1901" s="26" t="n">
        <x:v>24117.35</x:v>
      </x:c>
      <x:c r="F1901" t="n">
        <x:v>0</x:v>
      </x:c>
      <x:c r="G1901" s="25" t="n">
        <x:v>0.149616</x:v>
      </x:c>
      <x:c r="H1901" t="n">
        <x:f>IF(G1901&lt;$B$6,1,0)</x:f>
        <x:v>1</x:v>
      </x:c>
      <x:c r="I1901" s="26" t="n">
        <x:f>H1901*IF(F1901=0,E1901*$B$7,-E1901*$B$8)</x:f>
        <x:v>2894.082</x:v>
      </x:c>
    </x:row>
    <x:row r="1902">
      <x:c r="A1902" t="n">
        <x:v>6754</x:v>
      </x:c>
      <x:c r="B1902" t="str">
        <x:v>2024-11</x:v>
      </x:c>
      <x:c r="C1902" t="str">
        <x:v>Salaried</x:v>
      </x:c>
      <x:c r="D1902" t="str">
        <x:v>Group B</x:v>
      </x:c>
      <x:c r="E1902" s="26" t="n">
        <x:v>11477.51</x:v>
      </x:c>
      <x:c r="F1902" t="n">
        <x:v>0</x:v>
      </x:c>
      <x:c r="G1902" s="25" t="n">
        <x:v>0.313479</x:v>
      </x:c>
      <x:c r="H1902" t="n">
        <x:f>IF(G1902&lt;$B$6,1,0)</x:f>
        <x:v>0</x:v>
      </x:c>
      <x:c r="I1902" s="26" t="n">
        <x:f>H1902*IF(F1902=0,E1902*$B$7,-E1902*$B$8)</x:f>
        <x:v>0</x:v>
      </x:c>
    </x:row>
    <x:row r="1903">
      <x:c r="A1903" t="n">
        <x:v>6794</x:v>
      </x:c>
      <x:c r="B1903" t="str">
        <x:v>2024-11</x:v>
      </x:c>
      <x:c r="C1903" t="str">
        <x:v>Salaried</x:v>
      </x:c>
      <x:c r="D1903" t="str">
        <x:v>Group A</x:v>
      </x:c>
      <x:c r="E1903" s="26" t="n">
        <x:v>37953.56</x:v>
      </x:c>
      <x:c r="F1903" t="n">
        <x:v>0</x:v>
      </x:c>
      <x:c r="G1903" s="25" t="n">
        <x:v>0.071988</x:v>
      </x:c>
      <x:c r="H1903" t="n">
        <x:f>IF(G1903&lt;$B$6,1,0)</x:f>
        <x:v>1</x:v>
      </x:c>
      <x:c r="I1903" s="26" t="n">
        <x:f>H1903*IF(F1903=0,E1903*$B$7,-E1903*$B$8)</x:f>
        <x:v>4554.427199999999</x:v>
      </x:c>
    </x:row>
    <x:row r="1904">
      <x:c r="A1904" t="n">
        <x:v>6814</x:v>
      </x:c>
      <x:c r="B1904" t="str">
        <x:v>2024-11</x:v>
      </x:c>
      <x:c r="C1904" t="str">
        <x:v>Contract</x:v>
      </x:c>
      <x:c r="D1904" t="str">
        <x:v>Group A</x:v>
      </x:c>
      <x:c r="E1904" s="26" t="n">
        <x:v>18494.26</x:v>
      </x:c>
      <x:c r="F1904" t="n">
        <x:v>0</x:v>
      </x:c>
      <x:c r="G1904" s="25" t="n">
        <x:v>0.217845</x:v>
      </x:c>
      <x:c r="H1904" t="n">
        <x:f>IF(G1904&lt;$B$6,1,0)</x:f>
        <x:v>0</x:v>
      </x:c>
      <x:c r="I1904" s="26" t="n">
        <x:f>H1904*IF(F1904=0,E1904*$B$7,-E1904*$B$8)</x:f>
        <x:v>0</x:v>
      </x:c>
    </x:row>
    <x:row r="1905">
      <x:c r="A1905" t="n">
        <x:v>6816</x:v>
      </x:c>
      <x:c r="B1905" t="str">
        <x:v>2024-11</x:v>
      </x:c>
      <x:c r="C1905" t="str">
        <x:v>Salaried</x:v>
      </x:c>
      <x:c r="D1905" t="str">
        <x:v>Group A</x:v>
      </x:c>
      <x:c r="E1905" s="26" t="n">
        <x:v>28121.51</x:v>
      </x:c>
      <x:c r="F1905" t="n">
        <x:v>0</x:v>
      </x:c>
      <x:c r="G1905" s="25" t="n">
        <x:v>0.342282</x:v>
      </x:c>
      <x:c r="H1905" t="n">
        <x:f>IF(G1905&lt;$B$6,1,0)</x:f>
        <x:v>0</x:v>
      </x:c>
      <x:c r="I1905" s="26" t="n">
        <x:f>H1905*IF(F1905=0,E1905*$B$7,-E1905*$B$8)</x:f>
        <x:v>0</x:v>
      </x:c>
    </x:row>
    <x:row r="1906">
      <x:c r="A1906" t="n">
        <x:v>6821</x:v>
      </x:c>
      <x:c r="B1906" t="str">
        <x:v>2024-11</x:v>
      </x:c>
      <x:c r="C1906" t="str">
        <x:v>Salaried</x:v>
      </x:c>
      <x:c r="D1906" t="str">
        <x:v>Group A</x:v>
      </x:c>
      <x:c r="E1906" s="26" t="n">
        <x:v>26187.5</x:v>
      </x:c>
      <x:c r="F1906" t="n">
        <x:v>0</x:v>
      </x:c>
      <x:c r="G1906" s="25" t="n">
        <x:v>0.268145</x:v>
      </x:c>
      <x:c r="H1906" t="n">
        <x:f>IF(G1906&lt;$B$6,1,0)</x:f>
        <x:v>0</x:v>
      </x:c>
      <x:c r="I1906" s="26" t="n">
        <x:f>H1906*IF(F1906=0,E1906*$B$7,-E1906*$B$8)</x:f>
        <x:v>0</x:v>
      </x:c>
    </x:row>
    <x:row r="1907">
      <x:c r="A1907" t="n">
        <x:v>6832</x:v>
      </x:c>
      <x:c r="B1907" t="str">
        <x:v>2024-11</x:v>
      </x:c>
      <x:c r="C1907" t="str">
        <x:v>Salaried</x:v>
      </x:c>
      <x:c r="D1907" t="str">
        <x:v>Group A</x:v>
      </x:c>
      <x:c r="E1907" s="26" t="n">
        <x:v>34691.06</x:v>
      </x:c>
      <x:c r="F1907" t="n">
        <x:v>1</x:v>
      </x:c>
      <x:c r="G1907" s="25" t="n">
        <x:v>0.249511</x:v>
      </x:c>
      <x:c r="H1907" t="n">
        <x:f>IF(G1907&lt;$B$6,1,0)</x:f>
        <x:v>0</x:v>
      </x:c>
      <x:c r="I1907" s="26" t="n">
        <x:f>H1907*IF(F1907=0,E1907*$B$7,-E1907*$B$8)</x:f>
        <x:v>0</x:v>
      </x:c>
    </x:row>
    <x:row r="1908">
      <x:c r="A1908" t="n">
        <x:v>6851</x:v>
      </x:c>
      <x:c r="B1908" t="str">
        <x:v>2024-11</x:v>
      </x:c>
      <x:c r="C1908" t="str">
        <x:v>Salaried</x:v>
      </x:c>
      <x:c r="D1908" t="str">
        <x:v>Group A</x:v>
      </x:c>
      <x:c r="E1908" s="26" t="n">
        <x:v>19458.15</x:v>
      </x:c>
      <x:c r="F1908" t="n">
        <x:v>1</x:v>
      </x:c>
      <x:c r="G1908" s="25" t="n">
        <x:v>0.070591</x:v>
      </x:c>
      <x:c r="H1908" t="n">
        <x:f>IF(G1908&lt;$B$6,1,0)</x:f>
        <x:v>1</x:v>
      </x:c>
      <x:c r="I1908" s="26" t="n">
        <x:f>H1908*IF(F1908=0,E1908*$B$7,-E1908*$B$8)</x:f>
        <x:v>-12647.7975</x:v>
      </x:c>
    </x:row>
    <x:row r="1909">
      <x:c r="A1909" t="n">
        <x:v>6852</x:v>
      </x:c>
      <x:c r="B1909" t="str">
        <x:v>2024-11</x:v>
      </x:c>
      <x:c r="C1909" t="str">
        <x:v>Contract</x:v>
      </x:c>
      <x:c r="D1909" t="str">
        <x:v>Group A</x:v>
      </x:c>
      <x:c r="E1909" s="26" t="n">
        <x:v>9878.84</x:v>
      </x:c>
      <x:c r="F1909" t="n">
        <x:v>0</x:v>
      </x:c>
      <x:c r="G1909" s="25" t="n">
        <x:v>0.112474</x:v>
      </x:c>
      <x:c r="H1909" t="n">
        <x:f>IF(G1909&lt;$B$6,1,0)</x:f>
        <x:v>1</x:v>
      </x:c>
      <x:c r="I1909" s="26" t="n">
        <x:f>H1909*IF(F1909=0,E1909*$B$7,-E1909*$B$8)</x:f>
        <x:v>1185.4608</x:v>
      </x:c>
    </x:row>
    <x:row r="1910">
      <x:c r="A1910" t="n">
        <x:v>6864</x:v>
      </x:c>
      <x:c r="B1910" t="str">
        <x:v>2024-11</x:v>
      </x:c>
      <x:c r="C1910" t="str">
        <x:v>Self employed</x:v>
      </x:c>
      <x:c r="D1910" t="str">
        <x:v>Group A</x:v>
      </x:c>
      <x:c r="E1910" s="26" t="n">
        <x:v>5778.64</x:v>
      </x:c>
      <x:c r="F1910" t="n">
        <x:v>1</x:v>
      </x:c>
      <x:c r="G1910" s="25" t="n">
        <x:v>0.483852</x:v>
      </x:c>
      <x:c r="H1910" t="n">
        <x:f>IF(G1910&lt;$B$6,1,0)</x:f>
        <x:v>0</x:v>
      </x:c>
      <x:c r="I1910" s="26" t="n">
        <x:f>H1910*IF(F1910=0,E1910*$B$7,-E1910*$B$8)</x:f>
        <x:v>0</x:v>
      </x:c>
    </x:row>
    <x:row r="1911">
      <x:c r="A1911" t="n">
        <x:v>6871</x:v>
      </x:c>
      <x:c r="B1911" t="str">
        <x:v>2024-11</x:v>
      </x:c>
      <x:c r="C1911" t="str">
        <x:v>Salaried</x:v>
      </x:c>
      <x:c r="D1911" t="str">
        <x:v>Group B</x:v>
      </x:c>
      <x:c r="E1911" s="26" t="n">
        <x:v>16592.73</x:v>
      </x:c>
      <x:c r="F1911" t="n">
        <x:v>0</x:v>
      </x:c>
      <x:c r="G1911" s="25" t="n">
        <x:v>0.197258</x:v>
      </x:c>
      <x:c r="H1911" t="n">
        <x:f>IF(G1911&lt;$B$6,1,0)</x:f>
        <x:v>0</x:v>
      </x:c>
      <x:c r="I1911" s="26" t="n">
        <x:f>H1911*IF(F1911=0,E1911*$B$7,-E1911*$B$8)</x:f>
        <x:v>0</x:v>
      </x:c>
    </x:row>
    <x:row r="1912">
      <x:c r="A1912" t="n">
        <x:v>6876</x:v>
      </x:c>
      <x:c r="B1912" t="str">
        <x:v>2024-11</x:v>
      </x:c>
      <x:c r="C1912" t="str">
        <x:v>Contract</x:v>
      </x:c>
      <x:c r="D1912" t="str">
        <x:v>Group B</x:v>
      </x:c>
      <x:c r="E1912" s="26" t="n">
        <x:v>10610.78</x:v>
      </x:c>
      <x:c r="F1912" t="n">
        <x:v>1</x:v>
      </x:c>
      <x:c r="G1912" s="25" t="n">
        <x:v>0.14897</x:v>
      </x:c>
      <x:c r="H1912" t="n">
        <x:f>IF(G1912&lt;$B$6,1,0)</x:f>
        <x:v>1</x:v>
      </x:c>
      <x:c r="I1912" s="26" t="n">
        <x:f>H1912*IF(F1912=0,E1912*$B$7,-E1912*$B$8)</x:f>
        <x:v>-6897.0070000000005</x:v>
      </x:c>
    </x:row>
    <x:row r="1913">
      <x:c r="A1913" t="n">
        <x:v>6895</x:v>
      </x:c>
      <x:c r="B1913" t="str">
        <x:v>2024-11</x:v>
      </x:c>
      <x:c r="C1913" t="str">
        <x:v>Self employed</x:v>
      </x:c>
      <x:c r="D1913" t="str">
        <x:v>Group B</x:v>
      </x:c>
      <x:c r="E1913" s="26" t="n">
        <x:v>7006.41</x:v>
      </x:c>
      <x:c r="F1913" t="n">
        <x:v>0</x:v>
      </x:c>
      <x:c r="G1913" s="25" t="n">
        <x:v>0.033624</x:v>
      </x:c>
      <x:c r="H1913" t="n">
        <x:f>IF(G1913&lt;$B$6,1,0)</x:f>
        <x:v>1</x:v>
      </x:c>
      <x:c r="I1913" s="26" t="n">
        <x:f>H1913*IF(F1913=0,E1913*$B$7,-E1913*$B$8)</x:f>
        <x:v>840.7692</x:v>
      </x:c>
    </x:row>
    <x:row r="1914">
      <x:c r="A1914" t="n">
        <x:v>6901</x:v>
      </x:c>
      <x:c r="B1914" t="str">
        <x:v>2024-11</x:v>
      </x:c>
      <x:c r="C1914" t="str">
        <x:v>Salaried</x:v>
      </x:c>
      <x:c r="D1914" t="str">
        <x:v>Group B</x:v>
      </x:c>
      <x:c r="E1914" s="26" t="n">
        <x:v>10499.25</x:v>
      </x:c>
      <x:c r="F1914" t="n">
        <x:v>0</x:v>
      </x:c>
      <x:c r="G1914" s="25" t="n">
        <x:v>0.026931</x:v>
      </x:c>
      <x:c r="H1914" t="n">
        <x:f>IF(G1914&lt;$B$6,1,0)</x:f>
        <x:v>1</x:v>
      </x:c>
      <x:c r="I1914" s="26" t="n">
        <x:f>H1914*IF(F1914=0,E1914*$B$7,-E1914*$B$8)</x:f>
        <x:v>1259.9099999999999</x:v>
      </x:c>
    </x:row>
    <x:row r="1915">
      <x:c r="A1915" t="n">
        <x:v>6938</x:v>
      </x:c>
      <x:c r="B1915" t="str">
        <x:v>2024-11</x:v>
      </x:c>
      <x:c r="C1915" t="str">
        <x:v>Salaried</x:v>
      </x:c>
      <x:c r="D1915" t="str">
        <x:v>Group B</x:v>
      </x:c>
      <x:c r="E1915" s="26" t="n">
        <x:v>6557.43</x:v>
      </x:c>
      <x:c r="F1915" t="n">
        <x:v>0</x:v>
      </x:c>
      <x:c r="G1915" s="25" t="n">
        <x:v>0.148681</x:v>
      </x:c>
      <x:c r="H1915" t="n">
        <x:f>IF(G1915&lt;$B$6,1,0)</x:f>
        <x:v>1</x:v>
      </x:c>
      <x:c r="I1915" s="26" t="n">
        <x:f>H1915*IF(F1915=0,E1915*$B$7,-E1915*$B$8)</x:f>
        <x:v>786.8916</x:v>
      </x:c>
    </x:row>
    <x:row r="1916">
      <x:c r="A1916" t="n">
        <x:v>6943</x:v>
      </x:c>
      <x:c r="B1916" t="str">
        <x:v>2024-11</x:v>
      </x:c>
      <x:c r="C1916" t="str">
        <x:v>Salaried</x:v>
      </x:c>
      <x:c r="D1916" t="str">
        <x:v>Group A</x:v>
      </x:c>
      <x:c r="E1916" s="26" t="n">
        <x:v>5060.45</x:v>
      </x:c>
      <x:c r="F1916" t="n">
        <x:v>0</x:v>
      </x:c>
      <x:c r="G1916" s="25" t="n">
        <x:v>0.158258</x:v>
      </x:c>
      <x:c r="H1916" t="n">
        <x:f>IF(G1916&lt;$B$6,1,0)</x:f>
        <x:v>1</x:v>
      </x:c>
      <x:c r="I1916" s="26" t="n">
        <x:f>H1916*IF(F1916=0,E1916*$B$7,-E1916*$B$8)</x:f>
        <x:v>607.2539999999999</x:v>
      </x:c>
    </x:row>
    <x:row r="1917">
      <x:c r="A1917" t="n">
        <x:v>6968</x:v>
      </x:c>
      <x:c r="B1917" t="str">
        <x:v>2024-11</x:v>
      </x:c>
      <x:c r="C1917" t="str">
        <x:v>Salaried</x:v>
      </x:c>
      <x:c r="D1917" t="str">
        <x:v>Group A</x:v>
      </x:c>
      <x:c r="E1917" s="26" t="n">
        <x:v>15197.56</x:v>
      </x:c>
      <x:c r="F1917" t="n">
        <x:v>0</x:v>
      </x:c>
      <x:c r="G1917" s="25" t="n">
        <x:v>0.034737</x:v>
      </x:c>
      <x:c r="H1917" t="n">
        <x:f>IF(G1917&lt;$B$6,1,0)</x:f>
        <x:v>1</x:v>
      </x:c>
      <x:c r="I1917" s="26" t="n">
        <x:f>H1917*IF(F1917=0,E1917*$B$7,-E1917*$B$8)</x:f>
        <x:v>1823.7071999999998</x:v>
      </x:c>
    </x:row>
    <x:row r="1918">
      <x:c r="A1918" t="n">
        <x:v>6978</x:v>
      </x:c>
      <x:c r="B1918" t="str">
        <x:v>2024-11</x:v>
      </x:c>
      <x:c r="C1918" t="str">
        <x:v>Salaried</x:v>
      </x:c>
      <x:c r="D1918" t="str">
        <x:v>Group A</x:v>
      </x:c>
      <x:c r="E1918" s="26" t="n">
        <x:v>12003.12</x:v>
      </x:c>
      <x:c r="F1918" t="n">
        <x:v>0</x:v>
      </x:c>
      <x:c r="G1918" s="25" t="n">
        <x:v>0.05235</x:v>
      </x:c>
      <x:c r="H1918" t="n">
        <x:f>IF(G1918&lt;$B$6,1,0)</x:f>
        <x:v>1</x:v>
      </x:c>
      <x:c r="I1918" s="26" t="n">
        <x:f>H1918*IF(F1918=0,E1918*$B$7,-E1918*$B$8)</x:f>
        <x:v>1440.3744000000002</x:v>
      </x:c>
    </x:row>
    <x:row r="1919">
      <x:c r="A1919" t="n">
        <x:v>6981</x:v>
      </x:c>
      <x:c r="B1919" t="str">
        <x:v>2024-11</x:v>
      </x:c>
      <x:c r="C1919" t="str">
        <x:v>Salaried</x:v>
      </x:c>
      <x:c r="D1919" t="str">
        <x:v>Group A</x:v>
      </x:c>
      <x:c r="E1919" s="26" t="n">
        <x:v>10830.74</x:v>
      </x:c>
      <x:c r="F1919" t="n">
        <x:v>0</x:v>
      </x:c>
      <x:c r="G1919" s="25" t="n">
        <x:v>0.180214</x:v>
      </x:c>
      <x:c r="H1919" t="n">
        <x:f>IF(G1919&lt;$B$6,1,0)</x:f>
        <x:v>0</x:v>
      </x:c>
      <x:c r="I1919" s="26" t="n">
        <x:f>H1919*IF(F1919=0,E1919*$B$7,-E1919*$B$8)</x:f>
        <x:v>0</x:v>
      </x:c>
    </x:row>
    <x:row r="1920">
      <x:c r="A1920" t="n">
        <x:v>6985</x:v>
      </x:c>
      <x:c r="B1920" t="str">
        <x:v>2024-11</x:v>
      </x:c>
      <x:c r="C1920" t="str">
        <x:v>Salaried</x:v>
      </x:c>
      <x:c r="D1920" t="str">
        <x:v>Group A</x:v>
      </x:c>
      <x:c r="E1920" s="26" t="n">
        <x:v>15211.15</x:v>
      </x:c>
      <x:c r="F1920" t="n">
        <x:v>0</x:v>
      </x:c>
      <x:c r="G1920" s="25" t="n">
        <x:v>0.064963</x:v>
      </x:c>
      <x:c r="H1920" t="n">
        <x:f>IF(G1920&lt;$B$6,1,0)</x:f>
        <x:v>1</x:v>
      </x:c>
      <x:c r="I1920" s="26" t="n">
        <x:f>H1920*IF(F1920=0,E1920*$B$7,-E1920*$B$8)</x:f>
        <x:v>1825.338</x:v>
      </x:c>
    </x:row>
    <x:row r="1921">
      <x:c r="A1921" t="n">
        <x:v>6993</x:v>
      </x:c>
      <x:c r="B1921" t="str">
        <x:v>2024-11</x:v>
      </x:c>
      <x:c r="C1921" t="str">
        <x:v>Self employed</x:v>
      </x:c>
      <x:c r="D1921" t="str">
        <x:v>Group A</x:v>
      </x:c>
      <x:c r="E1921" s="26" t="n">
        <x:v>14948.61</x:v>
      </x:c>
      <x:c r="F1921" t="n">
        <x:v>1</x:v>
      </x:c>
      <x:c r="G1921" s="25" t="n">
        <x:v>0.069945</x:v>
      </x:c>
      <x:c r="H1921" t="n">
        <x:f>IF(G1921&lt;$B$6,1,0)</x:f>
        <x:v>1</x:v>
      </x:c>
      <x:c r="I1921" s="26" t="n">
        <x:f>H1921*IF(F1921=0,E1921*$B$7,-E1921*$B$8)</x:f>
        <x:v>-9716.596500000001</x:v>
      </x:c>
    </x:row>
    <x:row r="1922">
      <x:c r="A1922" t="n">
        <x:v>7024</x:v>
      </x:c>
      <x:c r="B1922" t="str">
        <x:v>2024-11</x:v>
      </x:c>
      <x:c r="C1922" t="str">
        <x:v>Salaried</x:v>
      </x:c>
      <x:c r="D1922" t="str">
        <x:v>Group A</x:v>
      </x:c>
      <x:c r="E1922" s="26" t="n">
        <x:v>25475.37</x:v>
      </x:c>
      <x:c r="F1922" t="n">
        <x:v>0</x:v>
      </x:c>
      <x:c r="G1922" s="25" t="n">
        <x:v>0.046764</x:v>
      </x:c>
      <x:c r="H1922" t="n">
        <x:f>IF(G1922&lt;$B$6,1,0)</x:f>
        <x:v>1</x:v>
      </x:c>
      <x:c r="I1922" s="26" t="n">
        <x:f>H1922*IF(F1922=0,E1922*$B$7,-E1922*$B$8)</x:f>
        <x:v>3057.0443999999998</x:v>
      </x:c>
    </x:row>
    <x:row r="1923">
      <x:c r="A1923" t="n">
        <x:v>7052</x:v>
      </x:c>
      <x:c r="B1923" t="str">
        <x:v>2024-11</x:v>
      </x:c>
      <x:c r="C1923" t="str">
        <x:v>Salaried</x:v>
      </x:c>
      <x:c r="D1923" t="str">
        <x:v>Group A</x:v>
      </x:c>
      <x:c r="E1923" s="26" t="n">
        <x:v>3761.73</x:v>
      </x:c>
      <x:c r="F1923" t="n">
        <x:v>0</x:v>
      </x:c>
      <x:c r="G1923" s="25" t="n">
        <x:v>0.034126</x:v>
      </x:c>
      <x:c r="H1923" t="n">
        <x:f>IF(G1923&lt;$B$6,1,0)</x:f>
        <x:v>1</x:v>
      </x:c>
      <x:c r="I1923" s="26" t="n">
        <x:f>H1923*IF(F1923=0,E1923*$B$7,-E1923*$B$8)</x:f>
        <x:v>451.4076</x:v>
      </x:c>
    </x:row>
    <x:row r="1924">
      <x:c r="A1924" t="n">
        <x:v>7056</x:v>
      </x:c>
      <x:c r="B1924" t="str">
        <x:v>2024-11</x:v>
      </x:c>
      <x:c r="C1924" t="str">
        <x:v>Salaried</x:v>
      </x:c>
      <x:c r="D1924" t="str">
        <x:v>Group B</x:v>
      </x:c>
      <x:c r="E1924" s="26" t="n">
        <x:v>17077.28</x:v>
      </x:c>
      <x:c r="F1924" t="n">
        <x:v>0</x:v>
      </x:c>
      <x:c r="G1924" s="25" t="n">
        <x:v>0.090121</x:v>
      </x:c>
      <x:c r="H1924" t="n">
        <x:f>IF(G1924&lt;$B$6,1,0)</x:f>
        <x:v>1</x:v>
      </x:c>
      <x:c r="I1924" s="26" t="n">
        <x:f>H1924*IF(F1924=0,E1924*$B$7,-E1924*$B$8)</x:f>
        <x:v>2049.2736</x:v>
      </x:c>
    </x:row>
    <x:row r="1925">
      <x:c r="A1925" t="n">
        <x:v>7078</x:v>
      </x:c>
      <x:c r="B1925" t="str">
        <x:v>2024-11</x:v>
      </x:c>
      <x:c r="C1925" t="str">
        <x:v>Contract</x:v>
      </x:c>
      <x:c r="D1925" t="str">
        <x:v>Group B</x:v>
      </x:c>
      <x:c r="E1925" s="26" t="n">
        <x:v>19976.19</x:v>
      </x:c>
      <x:c r="F1925" t="n">
        <x:v>1</x:v>
      </x:c>
      <x:c r="G1925" s="25" t="n">
        <x:v>0.121437</x:v>
      </x:c>
      <x:c r="H1925" t="n">
        <x:f>IF(G1925&lt;$B$6,1,0)</x:f>
        <x:v>1</x:v>
      </x:c>
      <x:c r="I1925" s="26" t="n">
        <x:f>H1925*IF(F1925=0,E1925*$B$7,-E1925*$B$8)</x:f>
        <x:v>-12984.5235</x:v>
      </x:c>
    </x:row>
    <x:row r="1926">
      <x:c r="A1926" t="n">
        <x:v>7096</x:v>
      </x:c>
      <x:c r="B1926" t="str">
        <x:v>2024-11</x:v>
      </x:c>
      <x:c r="C1926" t="str">
        <x:v>Salaried</x:v>
      </x:c>
      <x:c r="D1926" t="str">
        <x:v>Group B</x:v>
      </x:c>
      <x:c r="E1926" s="26" t="n">
        <x:v>13041.94</x:v>
      </x:c>
      <x:c r="F1926" t="n">
        <x:v>0</x:v>
      </x:c>
      <x:c r="G1926" s="25" t="n">
        <x:v>0.058815</x:v>
      </x:c>
      <x:c r="H1926" t="n">
        <x:f>IF(G1926&lt;$B$6,1,0)</x:f>
        <x:v>1</x:v>
      </x:c>
      <x:c r="I1926" s="26" t="n">
        <x:f>H1926*IF(F1926=0,E1926*$B$7,-E1926*$B$8)</x:f>
        <x:v>1565.0328</x:v>
      </x:c>
    </x:row>
    <x:row r="1927">
      <x:c r="A1927" t="n">
        <x:v>7116</x:v>
      </x:c>
      <x:c r="B1927" t="str">
        <x:v>2024-11</x:v>
      </x:c>
      <x:c r="C1927" t="str">
        <x:v>Salaried</x:v>
      </x:c>
      <x:c r="D1927" t="str">
        <x:v>Group A</x:v>
      </x:c>
      <x:c r="E1927" s="26" t="n">
        <x:v>48530.67</x:v>
      </x:c>
      <x:c r="F1927" t="n">
        <x:v>1</x:v>
      </x:c>
      <x:c r="G1927" s="25" t="n">
        <x:v>0.313981</x:v>
      </x:c>
      <x:c r="H1927" t="n">
        <x:f>IF(G1927&lt;$B$6,1,0)</x:f>
        <x:v>0</x:v>
      </x:c>
      <x:c r="I1927" s="26" t="n">
        <x:f>H1927*IF(F1927=0,E1927*$B$7,-E1927*$B$8)</x:f>
        <x:v>0</x:v>
      </x:c>
    </x:row>
    <x:row r="1928">
      <x:c r="A1928" t="n">
        <x:v>7119</x:v>
      </x:c>
      <x:c r="B1928" t="str">
        <x:v>2024-11</x:v>
      </x:c>
      <x:c r="C1928" t="str">
        <x:v>Salaried</x:v>
      </x:c>
      <x:c r="D1928" t="str">
        <x:v>Group A</x:v>
      </x:c>
      <x:c r="E1928" s="26" t="n">
        <x:v>11428.16</x:v>
      </x:c>
      <x:c r="F1928" t="n">
        <x:v>1</x:v>
      </x:c>
      <x:c r="G1928" s="25" t="n">
        <x:v>0.810794</x:v>
      </x:c>
      <x:c r="H1928" t="n">
        <x:f>IF(G1928&lt;$B$6,1,0)</x:f>
        <x:v>0</x:v>
      </x:c>
      <x:c r="I1928" s="26" t="n">
        <x:f>H1928*IF(F1928=0,E1928*$B$7,-E1928*$B$8)</x:f>
        <x:v>0</x:v>
      </x:c>
    </x:row>
    <x:row r="1929">
      <x:c r="A1929" t="n">
        <x:v>7131</x:v>
      </x:c>
      <x:c r="B1929" t="str">
        <x:v>2024-11</x:v>
      </x:c>
      <x:c r="C1929" t="str">
        <x:v>Salaried</x:v>
      </x:c>
      <x:c r="D1929" t="str">
        <x:v>Group B</x:v>
      </x:c>
      <x:c r="E1929" s="26" t="n">
        <x:v>9107.9</x:v>
      </x:c>
      <x:c r="F1929" t="n">
        <x:v>0</x:v>
      </x:c>
      <x:c r="G1929" s="25" t="n">
        <x:v>0.256546</x:v>
      </x:c>
      <x:c r="H1929" t="n">
        <x:f>IF(G1929&lt;$B$6,1,0)</x:f>
        <x:v>0</x:v>
      </x:c>
      <x:c r="I1929" s="26" t="n">
        <x:f>H1929*IF(F1929=0,E1929*$B$7,-E1929*$B$8)</x:f>
        <x:v>0</x:v>
      </x:c>
    </x:row>
    <x:row r="1930">
      <x:c r="A1930" t="n">
        <x:v>7139</x:v>
      </x:c>
      <x:c r="B1930" t="str">
        <x:v>2024-11</x:v>
      </x:c>
      <x:c r="C1930" t="str">
        <x:v>Salaried</x:v>
      </x:c>
      <x:c r="D1930" t="str">
        <x:v>Group A</x:v>
      </x:c>
      <x:c r="E1930" s="26" t="n">
        <x:v>10729.42</x:v>
      </x:c>
      <x:c r="F1930" t="n">
        <x:v>0</x:v>
      </x:c>
      <x:c r="G1930" s="25" t="n">
        <x:v>0.199791</x:v>
      </x:c>
      <x:c r="H1930" t="n">
        <x:f>IF(G1930&lt;$B$6,1,0)</x:f>
        <x:v>0</x:v>
      </x:c>
      <x:c r="I1930" s="26" t="n">
        <x:f>H1930*IF(F1930=0,E1930*$B$7,-E1930*$B$8)</x:f>
        <x:v>0</x:v>
      </x:c>
    </x:row>
    <x:row r="1931">
      <x:c r="A1931" t="n">
        <x:v>7141</x:v>
      </x:c>
      <x:c r="B1931" t="str">
        <x:v>2024-11</x:v>
      </x:c>
      <x:c r="C1931" t="str">
        <x:v>Self employed</x:v>
      </x:c>
      <x:c r="D1931" t="str">
        <x:v>Group A</x:v>
      </x:c>
      <x:c r="E1931" s="26" t="n">
        <x:v>22991.78</x:v>
      </x:c>
      <x:c r="F1931" t="n">
        <x:v>0</x:v>
      </x:c>
      <x:c r="G1931" s="25" t="n">
        <x:v>0.146577</x:v>
      </x:c>
      <x:c r="H1931" t="n">
        <x:f>IF(G1931&lt;$B$6,1,0)</x:f>
        <x:v>1</x:v>
      </x:c>
      <x:c r="I1931" s="26" t="n">
        <x:f>H1931*IF(F1931=0,E1931*$B$7,-E1931*$B$8)</x:f>
        <x:v>2759.0135999999998</x:v>
      </x:c>
    </x:row>
    <x:row r="1932">
      <x:c r="A1932" t="n">
        <x:v>7144</x:v>
      </x:c>
      <x:c r="B1932" t="str">
        <x:v>2024-11</x:v>
      </x:c>
      <x:c r="C1932" t="str">
        <x:v>Self employed</x:v>
      </x:c>
      <x:c r="D1932" t="str">
        <x:v>Group A</x:v>
      </x:c>
      <x:c r="E1932" s="26" t="n">
        <x:v>15480.43</x:v>
      </x:c>
      <x:c r="F1932" t="n">
        <x:v>0</x:v>
      </x:c>
      <x:c r="G1932" s="25" t="n">
        <x:v>0.162199</x:v>
      </x:c>
      <x:c r="H1932" t="n">
        <x:f>IF(G1932&lt;$B$6,1,0)</x:f>
        <x:v>0</x:v>
      </x:c>
      <x:c r="I1932" s="26" t="n">
        <x:f>H1932*IF(F1932=0,E1932*$B$7,-E1932*$B$8)</x:f>
        <x:v>0</x:v>
      </x:c>
    </x:row>
    <x:row r="1933">
      <x:c r="A1933" t="n">
        <x:v>7199</x:v>
      </x:c>
      <x:c r="B1933" t="str">
        <x:v>2024-11</x:v>
      </x:c>
      <x:c r="C1933" t="str">
        <x:v>Salaried</x:v>
      </x:c>
      <x:c r="D1933" t="str">
        <x:v>Group A</x:v>
      </x:c>
      <x:c r="E1933" s="26" t="n">
        <x:v>14095.05</x:v>
      </x:c>
      <x:c r="F1933" t="n">
        <x:v>0</x:v>
      </x:c>
      <x:c r="G1933" s="25" t="n">
        <x:v>0.076044</x:v>
      </x:c>
      <x:c r="H1933" t="n">
        <x:f>IF(G1933&lt;$B$6,1,0)</x:f>
        <x:v>1</x:v>
      </x:c>
      <x:c r="I1933" s="26" t="n">
        <x:f>H1933*IF(F1933=0,E1933*$B$7,-E1933*$B$8)</x:f>
        <x:v>1691.406</x:v>
      </x:c>
    </x:row>
    <x:row r="1934">
      <x:c r="A1934" t="n">
        <x:v>7210</x:v>
      </x:c>
      <x:c r="B1934" t="str">
        <x:v>2024-11</x:v>
      </x:c>
      <x:c r="C1934" t="str">
        <x:v>Salaried</x:v>
      </x:c>
      <x:c r="D1934" t="str">
        <x:v>Group A</x:v>
      </x:c>
      <x:c r="E1934" s="26" t="n">
        <x:v>20995.02</x:v>
      </x:c>
      <x:c r="F1934" t="n">
        <x:v>0</x:v>
      </x:c>
      <x:c r="G1934" s="25" t="n">
        <x:v>0.30554</x:v>
      </x:c>
      <x:c r="H1934" t="n">
        <x:f>IF(G1934&lt;$B$6,1,0)</x:f>
        <x:v>0</x:v>
      </x:c>
      <x:c r="I1934" s="26" t="n">
        <x:f>H1934*IF(F1934=0,E1934*$B$7,-E1934*$B$8)</x:f>
        <x:v>0</x:v>
      </x:c>
    </x:row>
    <x:row r="1935">
      <x:c r="A1935" t="n">
        <x:v>7214</x:v>
      </x:c>
      <x:c r="B1935" t="str">
        <x:v>2024-11</x:v>
      </x:c>
      <x:c r="C1935" t="str">
        <x:v>Salaried</x:v>
      </x:c>
      <x:c r="D1935" t="str">
        <x:v>Group A</x:v>
      </x:c>
      <x:c r="E1935" s="26" t="n">
        <x:v>8886.88</x:v>
      </x:c>
      <x:c r="F1935" t="n">
        <x:v>0</x:v>
      </x:c>
      <x:c r="G1935" s="25" t="n">
        <x:v>0.106401</x:v>
      </x:c>
      <x:c r="H1935" t="n">
        <x:f>IF(G1935&lt;$B$6,1,0)</x:f>
        <x:v>1</x:v>
      </x:c>
      <x:c r="I1935" s="26" t="n">
        <x:f>H1935*IF(F1935=0,E1935*$B$7,-E1935*$B$8)</x:f>
        <x:v>1066.4255999999998</x:v>
      </x:c>
    </x:row>
    <x:row r="1936">
      <x:c r="A1936" t="n">
        <x:v>7246</x:v>
      </x:c>
      <x:c r="B1936" t="str">
        <x:v>2024-11</x:v>
      </x:c>
      <x:c r="C1936" t="str">
        <x:v>Self employed</x:v>
      </x:c>
      <x:c r="D1936" t="str">
        <x:v>Group B</x:v>
      </x:c>
      <x:c r="E1936" s="26" t="n">
        <x:v>25062.6</x:v>
      </x:c>
      <x:c r="F1936" t="n">
        <x:v>1</x:v>
      </x:c>
      <x:c r="G1936" s="25" t="n">
        <x:v>0.469913</x:v>
      </x:c>
      <x:c r="H1936" t="n">
        <x:f>IF(G1936&lt;$B$6,1,0)</x:f>
        <x:v>0</x:v>
      </x:c>
      <x:c r="I1936" s="26" t="n">
        <x:f>H1936*IF(F1936=0,E1936*$B$7,-E1936*$B$8)</x:f>
        <x:v>0</x:v>
      </x:c>
    </x:row>
    <x:row r="1937">
      <x:c r="A1937" t="n">
        <x:v>7256</x:v>
      </x:c>
      <x:c r="B1937" t="str">
        <x:v>2024-11</x:v>
      </x:c>
      <x:c r="C1937" t="str">
        <x:v>Salaried</x:v>
      </x:c>
      <x:c r="D1937" t="str">
        <x:v>Group B</x:v>
      </x:c>
      <x:c r="E1937" s="26" t="n">
        <x:v>38334.71</x:v>
      </x:c>
      <x:c r="F1937" t="n">
        <x:v>0</x:v>
      </x:c>
      <x:c r="G1937" s="25" t="n">
        <x:v>0.125133</x:v>
      </x:c>
      <x:c r="H1937" t="n">
        <x:f>IF(G1937&lt;$B$6,1,0)</x:f>
        <x:v>1</x:v>
      </x:c>
      <x:c r="I1937" s="26" t="n">
        <x:f>H1937*IF(F1937=0,E1937*$B$7,-E1937*$B$8)</x:f>
        <x:v>4600.1651999999995</x:v>
      </x:c>
    </x:row>
    <x:row r="1938">
      <x:c r="A1938" t="n">
        <x:v>7295</x:v>
      </x:c>
      <x:c r="B1938" t="str">
        <x:v>2024-11</x:v>
      </x:c>
      <x:c r="C1938" t="str">
        <x:v>Self employed</x:v>
      </x:c>
      <x:c r="D1938" t="str">
        <x:v>Group A</x:v>
      </x:c>
      <x:c r="E1938" s="26" t="n">
        <x:v>10235.28</x:v>
      </x:c>
      <x:c r="F1938" t="n">
        <x:v>0</x:v>
      </x:c>
      <x:c r="G1938" s="25" t="n">
        <x:v>0.195828</x:v>
      </x:c>
      <x:c r="H1938" t="n">
        <x:f>IF(G1938&lt;$B$6,1,0)</x:f>
        <x:v>0</x:v>
      </x:c>
      <x:c r="I1938" s="26" t="n">
        <x:f>H1938*IF(F1938=0,E1938*$B$7,-E1938*$B$8)</x:f>
        <x:v>0</x:v>
      </x:c>
    </x:row>
    <x:row r="1939">
      <x:c r="A1939" t="n">
        <x:v>7408</x:v>
      </x:c>
      <x:c r="B1939" t="str">
        <x:v>2024-11</x:v>
      </x:c>
      <x:c r="C1939" t="str">
        <x:v>Salaried</x:v>
      </x:c>
      <x:c r="D1939" t="str">
        <x:v>Group B</x:v>
      </x:c>
      <x:c r="E1939" s="26" t="n">
        <x:v>19108.97</x:v>
      </x:c>
      <x:c r="F1939" t="n">
        <x:v>1</x:v>
      </x:c>
      <x:c r="G1939" s="25" t="n">
        <x:v>0.231202</x:v>
      </x:c>
      <x:c r="H1939" t="n">
        <x:f>IF(G1939&lt;$B$6,1,0)</x:f>
        <x:v>0</x:v>
      </x:c>
      <x:c r="I1939" s="26" t="n">
        <x:f>H1939*IF(F1939=0,E1939*$B$7,-E1939*$B$8)</x:f>
        <x:v>0</x:v>
      </x:c>
    </x:row>
    <x:row r="1940">
      <x:c r="A1940" t="n">
        <x:v>7445</x:v>
      </x:c>
      <x:c r="B1940" t="str">
        <x:v>2024-11</x:v>
      </x:c>
      <x:c r="C1940" t="str">
        <x:v>Self employed</x:v>
      </x:c>
      <x:c r="D1940" t="str">
        <x:v>Group B</x:v>
      </x:c>
      <x:c r="E1940" s="26" t="n">
        <x:v>25401.48</x:v>
      </x:c>
      <x:c r="F1940" t="n">
        <x:v>0</x:v>
      </x:c>
      <x:c r="G1940" s="25" t="n">
        <x:v>0.296348</x:v>
      </x:c>
      <x:c r="H1940" t="n">
        <x:f>IF(G1940&lt;$B$6,1,0)</x:f>
        <x:v>0</x:v>
      </x:c>
      <x:c r="I1940" s="26" t="n">
        <x:f>H1940*IF(F1940=0,E1940*$B$7,-E1940*$B$8)</x:f>
        <x:v>0</x:v>
      </x:c>
    </x:row>
    <x:row r="1941">
      <x:c r="A1941" t="n">
        <x:v>7463</x:v>
      </x:c>
      <x:c r="B1941" t="str">
        <x:v>2024-11</x:v>
      </x:c>
      <x:c r="C1941" t="str">
        <x:v>Salaried</x:v>
      </x:c>
      <x:c r="D1941" t="str">
        <x:v>Group A</x:v>
      </x:c>
      <x:c r="E1941" s="26" t="n">
        <x:v>32395.26</x:v>
      </x:c>
      <x:c r="F1941" t="n">
        <x:v>0</x:v>
      </x:c>
      <x:c r="G1941" s="25" t="n">
        <x:v>0.170496</x:v>
      </x:c>
      <x:c r="H1941" t="n">
        <x:f>IF(G1941&lt;$B$6,1,0)</x:f>
        <x:v>0</x:v>
      </x:c>
      <x:c r="I1941" s="26" t="n">
        <x:f>H1941*IF(F1941=0,E1941*$B$7,-E1941*$B$8)</x:f>
        <x:v>0</x:v>
      </x:c>
    </x:row>
    <x:row r="1942">
      <x:c r="A1942" t="n">
        <x:v>7466</x:v>
      </x:c>
      <x:c r="B1942" t="str">
        <x:v>2024-11</x:v>
      </x:c>
      <x:c r="C1942" t="str">
        <x:v>Salaried</x:v>
      </x:c>
      <x:c r="D1942" t="str">
        <x:v>Group B</x:v>
      </x:c>
      <x:c r="E1942" s="26" t="n">
        <x:v>6099.09</x:v>
      </x:c>
      <x:c r="F1942" t="n">
        <x:v>0</x:v>
      </x:c>
      <x:c r="G1942" s="25" t="n">
        <x:v>0.068365</x:v>
      </x:c>
      <x:c r="H1942" t="n">
        <x:f>IF(G1942&lt;$B$6,1,0)</x:f>
        <x:v>1</x:v>
      </x:c>
      <x:c r="I1942" s="26" t="n">
        <x:f>H1942*IF(F1942=0,E1942*$B$7,-E1942*$B$8)</x:f>
        <x:v>731.8908</x:v>
      </x:c>
    </x:row>
    <x:row r="1943">
      <x:c r="A1943" t="n">
        <x:v>7485</x:v>
      </x:c>
      <x:c r="B1943" t="str">
        <x:v>2024-11</x:v>
      </x:c>
      <x:c r="C1943" t="str">
        <x:v>Salaried</x:v>
      </x:c>
      <x:c r="D1943" t="str">
        <x:v>Group B</x:v>
      </x:c>
      <x:c r="E1943" s="26" t="n">
        <x:v>3220.65</x:v>
      </x:c>
      <x:c r="F1943" t="n">
        <x:v>0</x:v>
      </x:c>
      <x:c r="G1943" s="25" t="n">
        <x:v>0.357764</x:v>
      </x:c>
      <x:c r="H1943" t="n">
        <x:f>IF(G1943&lt;$B$6,1,0)</x:f>
        <x:v>0</x:v>
      </x:c>
      <x:c r="I1943" s="26" t="n">
        <x:f>H1943*IF(F1943=0,E1943*$B$7,-E1943*$B$8)</x:f>
        <x:v>0</x:v>
      </x:c>
    </x:row>
    <x:row r="1944">
      <x:c r="A1944" t="n">
        <x:v>7490</x:v>
      </x:c>
      <x:c r="B1944" t="str">
        <x:v>2024-11</x:v>
      </x:c>
      <x:c r="C1944" t="str">
        <x:v>Contract</x:v>
      </x:c>
      <x:c r="D1944" t="str">
        <x:v>Group A</x:v>
      </x:c>
      <x:c r="E1944" s="26" t="n">
        <x:v>32609.66</x:v>
      </x:c>
      <x:c r="F1944" t="n">
        <x:v>0</x:v>
      </x:c>
      <x:c r="G1944" s="25" t="n">
        <x:v>0.496538</x:v>
      </x:c>
      <x:c r="H1944" t="n">
        <x:f>IF(G1944&lt;$B$6,1,0)</x:f>
        <x:v>0</x:v>
      </x:c>
      <x:c r="I1944" s="26" t="n">
        <x:f>H1944*IF(F1944=0,E1944*$B$7,-E1944*$B$8)</x:f>
        <x:v>0</x:v>
      </x:c>
    </x:row>
    <x:row r="1945">
      <x:c r="A1945" t="n">
        <x:v>7492</x:v>
      </x:c>
      <x:c r="B1945" t="str">
        <x:v>2024-11</x:v>
      </x:c>
      <x:c r="C1945" t="str">
        <x:v>Salaried</x:v>
      </x:c>
      <x:c r="D1945" t="str">
        <x:v>Group A</x:v>
      </x:c>
      <x:c r="E1945" s="26" t="n">
        <x:v>12909.91</x:v>
      </x:c>
      <x:c r="F1945" t="n">
        <x:v>0</x:v>
      </x:c>
      <x:c r="G1945" s="25" t="n">
        <x:v>0.077699</x:v>
      </x:c>
      <x:c r="H1945" t="n">
        <x:f>IF(G1945&lt;$B$6,1,0)</x:f>
        <x:v>1</x:v>
      </x:c>
      <x:c r="I1945" s="26" t="n">
        <x:f>H1945*IF(F1945=0,E1945*$B$7,-E1945*$B$8)</x:f>
        <x:v>1549.1892</x:v>
      </x:c>
    </x:row>
    <x:row r="1946">
      <x:c r="A1946" t="n">
        <x:v>7495</x:v>
      </x:c>
      <x:c r="B1946" t="str">
        <x:v>2024-11</x:v>
      </x:c>
      <x:c r="C1946" t="str">
        <x:v>Salaried</x:v>
      </x:c>
      <x:c r="D1946" t="str">
        <x:v>Group B</x:v>
      </x:c>
      <x:c r="E1946" s="26" t="n">
        <x:v>16055.54</x:v>
      </x:c>
      <x:c r="F1946" t="n">
        <x:v>1</x:v>
      </x:c>
      <x:c r="G1946" s="25" t="n">
        <x:v>0.627152</x:v>
      </x:c>
      <x:c r="H1946" t="n">
        <x:f>IF(G1946&lt;$B$6,1,0)</x:f>
        <x:v>0</x:v>
      </x:c>
      <x:c r="I1946" s="26" t="n">
        <x:f>H1946*IF(F1946=0,E1946*$B$7,-E1946*$B$8)</x:f>
        <x:v>0</x:v>
      </x:c>
    </x:row>
    <x:row r="1947">
      <x:c r="A1947" t="n">
        <x:v>7515</x:v>
      </x:c>
      <x:c r="B1947" t="str">
        <x:v>2024-11</x:v>
      </x:c>
      <x:c r="C1947" t="str">
        <x:v>Salaried</x:v>
      </x:c>
      <x:c r="D1947" t="str">
        <x:v>Group A</x:v>
      </x:c>
      <x:c r="E1947" s="26" t="n">
        <x:v>18293.54</x:v>
      </x:c>
      <x:c r="F1947" t="n">
        <x:v>0</x:v>
      </x:c>
      <x:c r="G1947" s="25" t="n">
        <x:v>0.092274</x:v>
      </x:c>
      <x:c r="H1947" t="n">
        <x:f>IF(G1947&lt;$B$6,1,0)</x:f>
        <x:v>1</x:v>
      </x:c>
      <x:c r="I1947" s="26" t="n">
        <x:f>H1947*IF(F1947=0,E1947*$B$7,-E1947*$B$8)</x:f>
        <x:v>2195.2248</x:v>
      </x:c>
    </x:row>
    <x:row r="1948">
      <x:c r="A1948" t="n">
        <x:v>7542</x:v>
      </x:c>
      <x:c r="B1948" t="str">
        <x:v>2024-11</x:v>
      </x:c>
      <x:c r="C1948" t="str">
        <x:v>Self employed</x:v>
      </x:c>
      <x:c r="D1948" t="str">
        <x:v>Group A</x:v>
      </x:c>
      <x:c r="E1948" s="26" t="n">
        <x:v>13392.4</x:v>
      </x:c>
      <x:c r="F1948" t="n">
        <x:v>0</x:v>
      </x:c>
      <x:c r="G1948" s="25" t="n">
        <x:v>0.112051</x:v>
      </x:c>
      <x:c r="H1948" t="n">
        <x:f>IF(G1948&lt;$B$6,1,0)</x:f>
        <x:v>1</x:v>
      </x:c>
      <x:c r="I1948" s="26" t="n">
        <x:f>H1948*IF(F1948=0,E1948*$B$7,-E1948*$B$8)</x:f>
        <x:v>1607.088</x:v>
      </x:c>
    </x:row>
    <x:row r="1949">
      <x:c r="A1949" t="n">
        <x:v>7554</x:v>
      </x:c>
      <x:c r="B1949" t="str">
        <x:v>2024-11</x:v>
      </x:c>
      <x:c r="C1949" t="str">
        <x:v>Salaried</x:v>
      </x:c>
      <x:c r="D1949" t="str">
        <x:v>Group B</x:v>
      </x:c>
      <x:c r="E1949" s="26" t="n">
        <x:v>23785.25</x:v>
      </x:c>
      <x:c r="F1949" t="n">
        <x:v>0</x:v>
      </x:c>
      <x:c r="G1949" s="25" t="n">
        <x:v>0.320373</x:v>
      </x:c>
      <x:c r="H1949" t="n">
        <x:f>IF(G1949&lt;$B$6,1,0)</x:f>
        <x:v>0</x:v>
      </x:c>
      <x:c r="I1949" s="26" t="n">
        <x:f>H1949*IF(F1949=0,E1949*$B$7,-E1949*$B$8)</x:f>
        <x:v>0</x:v>
      </x:c>
    </x:row>
    <x:row r="1950">
      <x:c r="A1950" t="n">
        <x:v>7576</x:v>
      </x:c>
      <x:c r="B1950" t="str">
        <x:v>2024-11</x:v>
      </x:c>
      <x:c r="C1950" t="str">
        <x:v>Self employed</x:v>
      </x:c>
      <x:c r="D1950" t="str">
        <x:v>Group B</x:v>
      </x:c>
      <x:c r="E1950" s="26" t="n">
        <x:v>19002.34</x:v>
      </x:c>
      <x:c r="F1950" t="n">
        <x:v>1</x:v>
      </x:c>
      <x:c r="G1950" s="25" t="n">
        <x:v>0.709214</x:v>
      </x:c>
      <x:c r="H1950" t="n">
        <x:f>IF(G1950&lt;$B$6,1,0)</x:f>
        <x:v>0</x:v>
      </x:c>
      <x:c r="I1950" s="26" t="n">
        <x:f>H1950*IF(F1950=0,E1950*$B$7,-E1950*$B$8)</x:f>
        <x:v>0</x:v>
      </x:c>
    </x:row>
    <x:row r="1951">
      <x:c r="A1951" t="n">
        <x:v>7583</x:v>
      </x:c>
      <x:c r="B1951" t="str">
        <x:v>2024-11</x:v>
      </x:c>
      <x:c r="C1951" t="str">
        <x:v>Salaried</x:v>
      </x:c>
      <x:c r="D1951" t="str">
        <x:v>Group A</x:v>
      </x:c>
      <x:c r="E1951" s="26" t="n">
        <x:v>9794.48</x:v>
      </x:c>
      <x:c r="F1951" t="n">
        <x:v>1</x:v>
      </x:c>
      <x:c r="G1951" s="25" t="n">
        <x:v>0.064332</x:v>
      </x:c>
      <x:c r="H1951" t="n">
        <x:f>IF(G1951&lt;$B$6,1,0)</x:f>
        <x:v>1</x:v>
      </x:c>
      <x:c r="I1951" s="26" t="n">
        <x:f>H1951*IF(F1951=0,E1951*$B$7,-E1951*$B$8)</x:f>
        <x:v>-6366.412</x:v>
      </x:c>
    </x:row>
    <x:row r="1952">
      <x:c r="A1952" t="n">
        <x:v>7601</x:v>
      </x:c>
      <x:c r="B1952" t="str">
        <x:v>2024-11</x:v>
      </x:c>
      <x:c r="C1952" t="str">
        <x:v>Salaried</x:v>
      </x:c>
      <x:c r="D1952" t="str">
        <x:v>Group A</x:v>
      </x:c>
      <x:c r="E1952" s="26" t="n">
        <x:v>6518.11</x:v>
      </x:c>
      <x:c r="F1952" t="n">
        <x:v>0</x:v>
      </x:c>
      <x:c r="G1952" s="25" t="n">
        <x:v>0.205402</x:v>
      </x:c>
      <x:c r="H1952" t="n">
        <x:f>IF(G1952&lt;$B$6,1,0)</x:f>
        <x:v>0</x:v>
      </x:c>
      <x:c r="I1952" s="26" t="n">
        <x:f>H1952*IF(F1952=0,E1952*$B$7,-E1952*$B$8)</x:f>
        <x:v>0</x:v>
      </x:c>
    </x:row>
    <x:row r="1953">
      <x:c r="A1953" t="n">
        <x:v>7610</x:v>
      </x:c>
      <x:c r="B1953" t="str">
        <x:v>2024-11</x:v>
      </x:c>
      <x:c r="C1953" t="str">
        <x:v>Salaried</x:v>
      </x:c>
      <x:c r="D1953" t="str">
        <x:v>Group A</x:v>
      </x:c>
      <x:c r="E1953" s="26" t="n">
        <x:v>25889.48</x:v>
      </x:c>
      <x:c r="F1953" t="n">
        <x:v>1</x:v>
      </x:c>
      <x:c r="G1953" s="25" t="n">
        <x:v>0.291926</x:v>
      </x:c>
      <x:c r="H1953" t="n">
        <x:f>IF(G1953&lt;$B$6,1,0)</x:f>
        <x:v>0</x:v>
      </x:c>
      <x:c r="I1953" s="26" t="n">
        <x:f>H1953*IF(F1953=0,E1953*$B$7,-E1953*$B$8)</x:f>
        <x:v>0</x:v>
      </x:c>
    </x:row>
    <x:row r="1954">
      <x:c r="A1954" t="n">
        <x:v>7628</x:v>
      </x:c>
      <x:c r="B1954" t="str">
        <x:v>2024-11</x:v>
      </x:c>
      <x:c r="C1954" t="str">
        <x:v>Salaried</x:v>
      </x:c>
      <x:c r="D1954" t="str">
        <x:v>Group B</x:v>
      </x:c>
      <x:c r="E1954" s="26" t="n">
        <x:v>19712.31</x:v>
      </x:c>
      <x:c r="F1954" t="n">
        <x:v>1</x:v>
      </x:c>
      <x:c r="G1954" s="25" t="n">
        <x:v>0.353443</x:v>
      </x:c>
      <x:c r="H1954" t="n">
        <x:f>IF(G1954&lt;$B$6,1,0)</x:f>
        <x:v>0</x:v>
      </x:c>
      <x:c r="I1954" s="26" t="n">
        <x:f>H1954*IF(F1954=0,E1954*$B$7,-E1954*$B$8)</x:f>
        <x:v>0</x:v>
      </x:c>
    </x:row>
    <x:row r="1955">
      <x:c r="A1955" t="n">
        <x:v>7654</x:v>
      </x:c>
      <x:c r="B1955" t="str">
        <x:v>2024-11</x:v>
      </x:c>
      <x:c r="C1955" t="str">
        <x:v>Salaried</x:v>
      </x:c>
      <x:c r="D1955" t="str">
        <x:v>Group A</x:v>
      </x:c>
      <x:c r="E1955" s="26" t="n">
        <x:v>19070.66</x:v>
      </x:c>
      <x:c r="F1955" t="n">
        <x:v>1</x:v>
      </x:c>
      <x:c r="G1955" s="25" t="n">
        <x:v>0.33171</x:v>
      </x:c>
      <x:c r="H1955" t="n">
        <x:f>IF(G1955&lt;$B$6,1,0)</x:f>
        <x:v>0</x:v>
      </x:c>
      <x:c r="I1955" s="26" t="n">
        <x:f>H1955*IF(F1955=0,E1955*$B$7,-E1955*$B$8)</x:f>
        <x:v>0</x:v>
      </x:c>
    </x:row>
    <x:row r="1956">
      <x:c r="A1956" t="n">
        <x:v>7707</x:v>
      </x:c>
      <x:c r="B1956" t="str">
        <x:v>2024-11</x:v>
      </x:c>
      <x:c r="C1956" t="str">
        <x:v>Salaried</x:v>
      </x:c>
      <x:c r="D1956" t="str">
        <x:v>Group A</x:v>
      </x:c>
      <x:c r="E1956" s="26" t="n">
        <x:v>9839.54</x:v>
      </x:c>
      <x:c r="F1956" t="n">
        <x:v>0</x:v>
      </x:c>
      <x:c r="G1956" s="25" t="n">
        <x:v>0.029851</x:v>
      </x:c>
      <x:c r="H1956" t="n">
        <x:f>IF(G1956&lt;$B$6,1,0)</x:f>
        <x:v>1</x:v>
      </x:c>
      <x:c r="I1956" s="26" t="n">
        <x:f>H1956*IF(F1956=0,E1956*$B$7,-E1956*$B$8)</x:f>
        <x:v>1180.7448000000002</x:v>
      </x:c>
    </x:row>
    <x:row r="1957">
      <x:c r="A1957" t="n">
        <x:v>7720</x:v>
      </x:c>
      <x:c r="B1957" t="str">
        <x:v>2024-11</x:v>
      </x:c>
      <x:c r="C1957" t="str">
        <x:v>Salaried</x:v>
      </x:c>
      <x:c r="D1957" t="str">
        <x:v>Group B</x:v>
      </x:c>
      <x:c r="E1957" s="26" t="n">
        <x:v>42492.72</x:v>
      </x:c>
      <x:c r="F1957" t="n">
        <x:v>0</x:v>
      </x:c>
      <x:c r="G1957" s="25" t="n">
        <x:v>0.062651</x:v>
      </x:c>
      <x:c r="H1957" t="n">
        <x:f>IF(G1957&lt;$B$6,1,0)</x:f>
        <x:v>1</x:v>
      </x:c>
      <x:c r="I1957" s="26" t="n">
        <x:f>H1957*IF(F1957=0,E1957*$B$7,-E1957*$B$8)</x:f>
        <x:v>5099.1264</x:v>
      </x:c>
    </x:row>
    <x:row r="1958">
      <x:c r="A1958" t="n">
        <x:v>7777</x:v>
      </x:c>
      <x:c r="B1958" t="str">
        <x:v>2024-11</x:v>
      </x:c>
      <x:c r="C1958" t="str">
        <x:v>Contract</x:v>
      </x:c>
      <x:c r="D1958" t="str">
        <x:v>Group B</x:v>
      </x:c>
      <x:c r="E1958" s="26" t="n">
        <x:v>75000</x:v>
      </x:c>
      <x:c r="F1958" t="n">
        <x:v>0</x:v>
      </x:c>
      <x:c r="G1958" s="25" t="n">
        <x:v>0.254027</x:v>
      </x:c>
      <x:c r="H1958" t="n">
        <x:f>IF(G1958&lt;$B$6,1,0)</x:f>
        <x:v>0</x:v>
      </x:c>
      <x:c r="I1958" s="26" t="n">
        <x:f>H1958*IF(F1958=0,E1958*$B$7,-E1958*$B$8)</x:f>
        <x:v>0</x:v>
      </x:c>
    </x:row>
    <x:row r="1959">
      <x:c r="A1959" t="n">
        <x:v>7792</x:v>
      </x:c>
      <x:c r="B1959" t="str">
        <x:v>2024-11</x:v>
      </x:c>
      <x:c r="C1959" t="str">
        <x:v>Salaried</x:v>
      </x:c>
      <x:c r="D1959" t="str">
        <x:v>Group A</x:v>
      </x:c>
      <x:c r="E1959" s="26" t="n">
        <x:v>15694.3</x:v>
      </x:c>
      <x:c r="F1959" t="n">
        <x:v>0</x:v>
      </x:c>
      <x:c r="G1959" s="25" t="n">
        <x:v>0.119425</x:v>
      </x:c>
      <x:c r="H1959" t="n">
        <x:f>IF(G1959&lt;$B$6,1,0)</x:f>
        <x:v>1</x:v>
      </x:c>
      <x:c r="I1959" s="26" t="n">
        <x:f>H1959*IF(F1959=0,E1959*$B$7,-E1959*$B$8)</x:f>
        <x:v>1883.3159999999998</x:v>
      </x:c>
    </x:row>
    <x:row r="1960">
      <x:c r="A1960" t="n">
        <x:v>7801</x:v>
      </x:c>
      <x:c r="B1960" t="str">
        <x:v>2024-11</x:v>
      </x:c>
      <x:c r="C1960" t="str">
        <x:v>Self employed</x:v>
      </x:c>
      <x:c r="D1960" t="str">
        <x:v>Group B</x:v>
      </x:c>
      <x:c r="E1960" s="26" t="n">
        <x:v>6315.03</x:v>
      </x:c>
      <x:c r="F1960" t="n">
        <x:v>0</x:v>
      </x:c>
      <x:c r="G1960" s="25" t="n">
        <x:v>0.125553</x:v>
      </x:c>
      <x:c r="H1960" t="n">
        <x:f>IF(G1960&lt;$B$6,1,0)</x:f>
        <x:v>1</x:v>
      </x:c>
      <x:c r="I1960" s="26" t="n">
        <x:f>H1960*IF(F1960=0,E1960*$B$7,-E1960*$B$8)</x:f>
        <x:v>757.8036</x:v>
      </x:c>
    </x:row>
    <x:row r="1961">
      <x:c r="A1961" t="n">
        <x:v>7840</x:v>
      </x:c>
      <x:c r="B1961" t="str">
        <x:v>2024-11</x:v>
      </x:c>
      <x:c r="C1961" t="str">
        <x:v>Self employed</x:v>
      </x:c>
      <x:c r="D1961" t="str">
        <x:v>Group B</x:v>
      </x:c>
      <x:c r="E1961" s="26" t="n">
        <x:v>14543.35</x:v>
      </x:c>
      <x:c r="F1961" t="n">
        <x:v>1</x:v>
      </x:c>
      <x:c r="G1961" s="25" t="n">
        <x:v>0.271827</x:v>
      </x:c>
      <x:c r="H1961" t="n">
        <x:f>IF(G1961&lt;$B$6,1,0)</x:f>
        <x:v>0</x:v>
      </x:c>
      <x:c r="I1961" s="26" t="n">
        <x:f>H1961*IF(F1961=0,E1961*$B$7,-E1961*$B$8)</x:f>
        <x:v>0</x:v>
      </x:c>
    </x:row>
    <x:row r="1962">
      <x:c r="A1962" t="n">
        <x:v>7867</x:v>
      </x:c>
      <x:c r="B1962" t="str">
        <x:v>2024-11</x:v>
      </x:c>
      <x:c r="C1962" t="str">
        <x:v>Salaried</x:v>
      </x:c>
      <x:c r="D1962" t="str">
        <x:v>Group A</x:v>
      </x:c>
      <x:c r="E1962" s="26" t="n">
        <x:v>22931.81</x:v>
      </x:c>
      <x:c r="F1962" t="n">
        <x:v>1</x:v>
      </x:c>
      <x:c r="G1962" s="25" t="n">
        <x:v>0.275063</x:v>
      </x:c>
      <x:c r="H1962" t="n">
        <x:f>IF(G1962&lt;$B$6,1,0)</x:f>
        <x:v>0</x:v>
      </x:c>
      <x:c r="I1962" s="26" t="n">
        <x:f>H1962*IF(F1962=0,E1962*$B$7,-E1962*$B$8)</x:f>
        <x:v>0</x:v>
      </x:c>
    </x:row>
    <x:row r="1963">
      <x:c r="A1963" t="n">
        <x:v>7912</x:v>
      </x:c>
      <x:c r="B1963" t="str">
        <x:v>2024-11</x:v>
      </x:c>
      <x:c r="C1963" t="str">
        <x:v>Salaried</x:v>
      </x:c>
      <x:c r="D1963" t="str">
        <x:v>Group B</x:v>
      </x:c>
      <x:c r="E1963" s="26" t="n">
        <x:v>16968.98</x:v>
      </x:c>
      <x:c r="F1963" t="n">
        <x:v>1</x:v>
      </x:c>
      <x:c r="G1963" s="25" t="n">
        <x:v>0.452163</x:v>
      </x:c>
      <x:c r="H1963" t="n">
        <x:f>IF(G1963&lt;$B$6,1,0)</x:f>
        <x:v>0</x:v>
      </x:c>
      <x:c r="I1963" s="26" t="n">
        <x:f>H1963*IF(F1963=0,E1963*$B$7,-E1963*$B$8)</x:f>
        <x:v>0</x:v>
      </x:c>
    </x:row>
    <x:row r="1964">
      <x:c r="A1964" t="n">
        <x:v>7931</x:v>
      </x:c>
      <x:c r="B1964" t="str">
        <x:v>2024-11</x:v>
      </x:c>
      <x:c r="C1964" t="str">
        <x:v>Contract</x:v>
      </x:c>
      <x:c r="D1964" t="str">
        <x:v>Group B</x:v>
      </x:c>
      <x:c r="E1964" s="26" t="n">
        <x:v>20506.64</x:v>
      </x:c>
      <x:c r="F1964" t="n">
        <x:v>0</x:v>
      </x:c>
      <x:c r="G1964" s="25" t="n">
        <x:v>0.067335</x:v>
      </x:c>
      <x:c r="H1964" t="n">
        <x:f>IF(G1964&lt;$B$6,1,0)</x:f>
        <x:v>1</x:v>
      </x:c>
      <x:c r="I1964" s="26" t="n">
        <x:f>H1964*IF(F1964=0,E1964*$B$7,-E1964*$B$8)</x:f>
        <x:v>2460.7967999999996</x:v>
      </x:c>
    </x:row>
    <x:row r="1965">
      <x:c r="A1965" t="n">
        <x:v>7948</x:v>
      </x:c>
      <x:c r="B1965" t="str">
        <x:v>2024-11</x:v>
      </x:c>
      <x:c r="C1965" t="str">
        <x:v>Salaried</x:v>
      </x:c>
      <x:c r="D1965" t="str">
        <x:v>Group A</x:v>
      </x:c>
      <x:c r="E1965" s="26" t="n">
        <x:v>21880.13</x:v>
      </x:c>
      <x:c r="F1965" t="n">
        <x:v>0</x:v>
      </x:c>
      <x:c r="G1965" s="25" t="n">
        <x:v>0.054659</x:v>
      </x:c>
      <x:c r="H1965" t="n">
        <x:f>IF(G1965&lt;$B$6,1,0)</x:f>
        <x:v>1</x:v>
      </x:c>
      <x:c r="I1965" s="26" t="n">
        <x:f>H1965*IF(F1965=0,E1965*$B$7,-E1965*$B$8)</x:f>
        <x:v>2625.6156</x:v>
      </x:c>
    </x:row>
    <x:row r="1966">
      <x:c r="A1966" t="n">
        <x:v>7997</x:v>
      </x:c>
      <x:c r="B1966" t="str">
        <x:v>2024-11</x:v>
      </x:c>
      <x:c r="C1966" t="str">
        <x:v>Self employed</x:v>
      </x:c>
      <x:c r="D1966" t="str">
        <x:v>Group A</x:v>
      </x:c>
      <x:c r="E1966" s="26" t="n">
        <x:v>6815.07</x:v>
      </x:c>
      <x:c r="F1966" t="n">
        <x:v>0</x:v>
      </x:c>
      <x:c r="G1966" s="25" t="n">
        <x:v>0.036389</x:v>
      </x:c>
      <x:c r="H1966" t="n">
        <x:f>IF(G1966&lt;$B$6,1,0)</x:f>
        <x:v>1</x:v>
      </x:c>
      <x:c r="I1966" s="26" t="n">
        <x:f>H1966*IF(F1966=0,E1966*$B$7,-E1966*$B$8)</x:f>
        <x:v>817.8083999999999</x:v>
      </x:c>
    </x:row>
    <x:row r="1967">
      <x:c r="A1967" t="n">
        <x:v>8014</x:v>
      </x:c>
      <x:c r="B1967" t="str">
        <x:v>2024-11</x:v>
      </x:c>
      <x:c r="C1967" t="str">
        <x:v>Salaried</x:v>
      </x:c>
      <x:c r="D1967" t="str">
        <x:v>Group B</x:v>
      </x:c>
      <x:c r="E1967" s="26" t="n">
        <x:v>8586.94</x:v>
      </x:c>
      <x:c r="F1967" t="n">
        <x:v>1</x:v>
      </x:c>
      <x:c r="G1967" s="25" t="n">
        <x:v>0.472416</x:v>
      </x:c>
      <x:c r="H1967" t="n">
        <x:f>IF(G1967&lt;$B$6,1,0)</x:f>
        <x:v>0</x:v>
      </x:c>
      <x:c r="I1967" s="26" t="n">
        <x:f>H1967*IF(F1967=0,E1967*$B$7,-E1967*$B$8)</x:f>
        <x:v>0</x:v>
      </x:c>
    </x:row>
    <x:row r="1968">
      <x:c r="A1968" t="n">
        <x:v>8042</x:v>
      </x:c>
      <x:c r="B1968" t="str">
        <x:v>2024-11</x:v>
      </x:c>
      <x:c r="C1968" t="str">
        <x:v>Salaried</x:v>
      </x:c>
      <x:c r="D1968" t="str">
        <x:v>Group B</x:v>
      </x:c>
      <x:c r="E1968" s="26" t="n">
        <x:v>15274.2</x:v>
      </x:c>
      <x:c r="F1968" t="n">
        <x:v>1</x:v>
      </x:c>
      <x:c r="G1968" s="25" t="n">
        <x:v>0.621476</x:v>
      </x:c>
      <x:c r="H1968" t="n">
        <x:f>IF(G1968&lt;$B$6,1,0)</x:f>
        <x:v>0</x:v>
      </x:c>
      <x:c r="I1968" s="26" t="n">
        <x:f>H1968*IF(F1968=0,E1968*$B$7,-E1968*$B$8)</x:f>
        <x:v>0</x:v>
      </x:c>
    </x:row>
    <x:row r="1969">
      <x:c r="A1969" t="n">
        <x:v>8075</x:v>
      </x:c>
      <x:c r="B1969" t="str">
        <x:v>2024-11</x:v>
      </x:c>
      <x:c r="C1969" t="str">
        <x:v>Salaried</x:v>
      </x:c>
      <x:c r="D1969" t="str">
        <x:v>Group B</x:v>
      </x:c>
      <x:c r="E1969" s="26" t="n">
        <x:v>16036.24</x:v>
      </x:c>
      <x:c r="F1969" t="n">
        <x:v>0</x:v>
      </x:c>
      <x:c r="G1969" s="25" t="n">
        <x:v>0.133113</x:v>
      </x:c>
      <x:c r="H1969" t="n">
        <x:f>IF(G1969&lt;$B$6,1,0)</x:f>
        <x:v>1</x:v>
      </x:c>
      <x:c r="I1969" s="26" t="n">
        <x:f>H1969*IF(F1969=0,E1969*$B$7,-E1969*$B$8)</x:f>
        <x:v>1924.3488</x:v>
      </x:c>
    </x:row>
    <x:row r="1970">
      <x:c r="A1970" t="n">
        <x:v>8086</x:v>
      </x:c>
      <x:c r="B1970" t="str">
        <x:v>2024-11</x:v>
      </x:c>
      <x:c r="C1970" t="str">
        <x:v>Salaried</x:v>
      </x:c>
      <x:c r="D1970" t="str">
        <x:v>Group A</x:v>
      </x:c>
      <x:c r="E1970" s="26" t="n">
        <x:v>40277.03</x:v>
      </x:c>
      <x:c r="F1970" t="n">
        <x:v>0</x:v>
      </x:c>
      <x:c r="G1970" s="25" t="n">
        <x:v>0.145542</x:v>
      </x:c>
      <x:c r="H1970" t="n">
        <x:f>IF(G1970&lt;$B$6,1,0)</x:f>
        <x:v>1</x:v>
      </x:c>
      <x:c r="I1970" s="26" t="n">
        <x:f>H1970*IF(F1970=0,E1970*$B$7,-E1970*$B$8)</x:f>
        <x:v>4833.2436</x:v>
      </x:c>
    </x:row>
    <x:row r="1971">
      <x:c r="A1971" t="n">
        <x:v>8095</x:v>
      </x:c>
      <x:c r="B1971" t="str">
        <x:v>2024-11</x:v>
      </x:c>
      <x:c r="C1971" t="str">
        <x:v>Salaried</x:v>
      </x:c>
      <x:c r="D1971" t="str">
        <x:v>Group A</x:v>
      </x:c>
      <x:c r="E1971" s="26" t="n">
        <x:v>13984.81</x:v>
      </x:c>
      <x:c r="F1971" t="n">
        <x:v>1</x:v>
      </x:c>
      <x:c r="G1971" s="25" t="n">
        <x:v>0.210062</x:v>
      </x:c>
      <x:c r="H1971" t="n">
        <x:f>IF(G1971&lt;$B$6,1,0)</x:f>
        <x:v>0</x:v>
      </x:c>
      <x:c r="I1971" s="26" t="n">
        <x:f>H1971*IF(F1971=0,E1971*$B$7,-E1971*$B$8)</x:f>
        <x:v>0</x:v>
      </x:c>
    </x:row>
    <x:row r="1972">
      <x:c r="A1972" t="n">
        <x:v>8096</x:v>
      </x:c>
      <x:c r="B1972" t="str">
        <x:v>2024-11</x:v>
      </x:c>
      <x:c r="C1972" t="str">
        <x:v>Self employed</x:v>
      </x:c>
      <x:c r="D1972" t="str">
        <x:v>Group A</x:v>
      </x:c>
      <x:c r="E1972" s="26" t="n">
        <x:v>13691.12</x:v>
      </x:c>
      <x:c r="F1972" t="n">
        <x:v>0</x:v>
      </x:c>
      <x:c r="G1972" s="25" t="n">
        <x:v>0.167729</x:v>
      </x:c>
      <x:c r="H1972" t="n">
        <x:f>IF(G1972&lt;$B$6,1,0)</x:f>
        <x:v>0</x:v>
      </x:c>
      <x:c r="I1972" s="26" t="n">
        <x:f>H1972*IF(F1972=0,E1972*$B$7,-E1972*$B$8)</x:f>
        <x:v>0</x:v>
      </x:c>
    </x:row>
    <x:row r="1973">
      <x:c r="A1973" t="n">
        <x:v>8118</x:v>
      </x:c>
      <x:c r="B1973" t="str">
        <x:v>2024-11</x:v>
      </x:c>
      <x:c r="C1973" t="str">
        <x:v>Salaried</x:v>
      </x:c>
      <x:c r="D1973" t="str">
        <x:v>Group B</x:v>
      </x:c>
      <x:c r="E1973" s="26" t="n">
        <x:v>3976.42</x:v>
      </x:c>
      <x:c r="F1973" t="n">
        <x:v>1</x:v>
      </x:c>
      <x:c r="G1973" s="25" t="n">
        <x:v>0.202621</x:v>
      </x:c>
      <x:c r="H1973" t="n">
        <x:f>IF(G1973&lt;$B$6,1,0)</x:f>
        <x:v>0</x:v>
      </x:c>
      <x:c r="I1973" s="26" t="n">
        <x:f>H1973*IF(F1973=0,E1973*$B$7,-E1973*$B$8)</x:f>
        <x:v>0</x:v>
      </x:c>
    </x:row>
    <x:row r="1974">
      <x:c r="A1974" t="n">
        <x:v>8135</x:v>
      </x:c>
      <x:c r="B1974" t="str">
        <x:v>2024-11</x:v>
      </x:c>
      <x:c r="C1974" t="str">
        <x:v>Salaried</x:v>
      </x:c>
      <x:c r="D1974" t="str">
        <x:v>Group A</x:v>
      </x:c>
      <x:c r="E1974" s="26" t="n">
        <x:v>27875.14</x:v>
      </x:c>
      <x:c r="F1974" t="n">
        <x:v>1</x:v>
      </x:c>
      <x:c r="G1974" s="25" t="n">
        <x:v>0.411392</x:v>
      </x:c>
      <x:c r="H1974" t="n">
        <x:f>IF(G1974&lt;$B$6,1,0)</x:f>
        <x:v>0</x:v>
      </x:c>
      <x:c r="I1974" s="26" t="n">
        <x:f>H1974*IF(F1974=0,E1974*$B$7,-E1974*$B$8)</x:f>
        <x:v>0</x:v>
      </x:c>
    </x:row>
    <x:row r="1975">
      <x:c r="A1975" t="n">
        <x:v>8155</x:v>
      </x:c>
      <x:c r="B1975" t="str">
        <x:v>2024-11</x:v>
      </x:c>
      <x:c r="C1975" t="str">
        <x:v>Salaried</x:v>
      </x:c>
      <x:c r="D1975" t="str">
        <x:v>Group B</x:v>
      </x:c>
      <x:c r="E1975" s="26" t="n">
        <x:v>32102.17</x:v>
      </x:c>
      <x:c r="F1975" t="n">
        <x:v>0</x:v>
      </x:c>
      <x:c r="G1975" s="25" t="n">
        <x:v>0.694347</x:v>
      </x:c>
      <x:c r="H1975" t="n">
        <x:f>IF(G1975&lt;$B$6,1,0)</x:f>
        <x:v>0</x:v>
      </x:c>
      <x:c r="I1975" s="26" t="n">
        <x:f>H1975*IF(F1975=0,E1975*$B$7,-E1975*$B$8)</x:f>
        <x:v>0</x:v>
      </x:c>
    </x:row>
    <x:row r="1976">
      <x:c r="A1976" t="n">
        <x:v>8159</x:v>
      </x:c>
      <x:c r="B1976" t="str">
        <x:v>2024-11</x:v>
      </x:c>
      <x:c r="C1976" t="str">
        <x:v>Salaried</x:v>
      </x:c>
      <x:c r="D1976" t="str">
        <x:v>Group A</x:v>
      </x:c>
      <x:c r="E1976" s="26" t="n">
        <x:v>7214.12</x:v>
      </x:c>
      <x:c r="F1976" t="n">
        <x:v>0</x:v>
      </x:c>
      <x:c r="G1976" s="25" t="n">
        <x:v>0.197428</x:v>
      </x:c>
      <x:c r="H1976" t="n">
        <x:f>IF(G1976&lt;$B$6,1,0)</x:f>
        <x:v>0</x:v>
      </x:c>
      <x:c r="I1976" s="26" t="n">
        <x:f>H1976*IF(F1976=0,E1976*$B$7,-E1976*$B$8)</x:f>
        <x:v>0</x:v>
      </x:c>
    </x:row>
    <x:row r="1977">
      <x:c r="A1977" t="n">
        <x:v>8210</x:v>
      </x:c>
      <x:c r="B1977" t="str">
        <x:v>2024-11</x:v>
      </x:c>
      <x:c r="C1977" t="str">
        <x:v>Salaried</x:v>
      </x:c>
      <x:c r="D1977" t="str">
        <x:v>Group B</x:v>
      </x:c>
      <x:c r="E1977" s="26" t="n">
        <x:v>26927.54</x:v>
      </x:c>
      <x:c r="F1977" t="n">
        <x:v>1</x:v>
      </x:c>
      <x:c r="G1977" s="25" t="n">
        <x:v>0.377902</x:v>
      </x:c>
      <x:c r="H1977" t="n">
        <x:f>IF(G1977&lt;$B$6,1,0)</x:f>
        <x:v>0</x:v>
      </x:c>
      <x:c r="I1977" s="26" t="n">
        <x:f>H1977*IF(F1977=0,E1977*$B$7,-E1977*$B$8)</x:f>
        <x:v>0</x:v>
      </x:c>
    </x:row>
    <x:row r="1978">
      <x:c r="A1978" t="n">
        <x:v>8219</x:v>
      </x:c>
      <x:c r="B1978" t="str">
        <x:v>2024-11</x:v>
      </x:c>
      <x:c r="C1978" t="str">
        <x:v>Salaried</x:v>
      </x:c>
      <x:c r="D1978" t="str">
        <x:v>Group B</x:v>
      </x:c>
      <x:c r="E1978" s="26" t="n">
        <x:v>5437.86</x:v>
      </x:c>
      <x:c r="F1978" t="n">
        <x:v>0</x:v>
      </x:c>
      <x:c r="G1978" s="25" t="n">
        <x:v>0.347927</x:v>
      </x:c>
      <x:c r="H1978" t="n">
        <x:f>IF(G1978&lt;$B$6,1,0)</x:f>
        <x:v>0</x:v>
      </x:c>
      <x:c r="I1978" s="26" t="n">
        <x:f>H1978*IF(F1978=0,E1978*$B$7,-E1978*$B$8)</x:f>
        <x:v>0</x:v>
      </x:c>
    </x:row>
    <x:row r="1979">
      <x:c r="A1979" t="n">
        <x:v>8234</x:v>
      </x:c>
      <x:c r="B1979" t="str">
        <x:v>2024-11</x:v>
      </x:c>
      <x:c r="C1979" t="str">
        <x:v>Salaried</x:v>
      </x:c>
      <x:c r="D1979" t="str">
        <x:v>Group A</x:v>
      </x:c>
      <x:c r="E1979" s="26" t="n">
        <x:v>23521.44</x:v>
      </x:c>
      <x:c r="F1979" t="n">
        <x:v>0</x:v>
      </x:c>
      <x:c r="G1979" s="25" t="n">
        <x:v>0.128615</x:v>
      </x:c>
      <x:c r="H1979" t="n">
        <x:f>IF(G1979&lt;$B$6,1,0)</x:f>
        <x:v>1</x:v>
      </x:c>
      <x:c r="I1979" s="26" t="n">
        <x:f>H1979*IF(F1979=0,E1979*$B$7,-E1979*$B$8)</x:f>
        <x:v>2822.5728</x:v>
      </x:c>
    </x:row>
    <x:row r="1980">
      <x:c r="A1980" t="n">
        <x:v>8257</x:v>
      </x:c>
      <x:c r="B1980" t="str">
        <x:v>2024-11</x:v>
      </x:c>
      <x:c r="C1980" t="str">
        <x:v>Salaried</x:v>
      </x:c>
      <x:c r="D1980" t="str">
        <x:v>Group A</x:v>
      </x:c>
      <x:c r="E1980" s="26" t="n">
        <x:v>18815.87</x:v>
      </x:c>
      <x:c r="F1980" t="n">
        <x:v>1</x:v>
      </x:c>
      <x:c r="G1980" s="25" t="n">
        <x:v>0.852967</x:v>
      </x:c>
      <x:c r="H1980" t="n">
        <x:f>IF(G1980&lt;$B$6,1,0)</x:f>
        <x:v>0</x:v>
      </x:c>
      <x:c r="I1980" s="26" t="n">
        <x:f>H1980*IF(F1980=0,E1980*$B$7,-E1980*$B$8)</x:f>
        <x:v>0</x:v>
      </x:c>
    </x:row>
    <x:row r="1981">
      <x:c r="A1981" t="n">
        <x:v>8285</x:v>
      </x:c>
      <x:c r="B1981" t="str">
        <x:v>2024-11</x:v>
      </x:c>
      <x:c r="C1981" t="str">
        <x:v>Self employed</x:v>
      </x:c>
      <x:c r="D1981" t="str">
        <x:v>Group A</x:v>
      </x:c>
      <x:c r="E1981" s="26" t="n">
        <x:v>7997.31</x:v>
      </x:c>
      <x:c r="F1981" t="n">
        <x:v>0</x:v>
      </x:c>
      <x:c r="G1981" s="25" t="n">
        <x:v>0.262744</x:v>
      </x:c>
      <x:c r="H1981" t="n">
        <x:f>IF(G1981&lt;$B$6,1,0)</x:f>
        <x:v>0</x:v>
      </x:c>
      <x:c r="I1981" s="26" t="n">
        <x:f>H1981*IF(F1981=0,E1981*$B$7,-E1981*$B$8)</x:f>
        <x:v>0</x:v>
      </x:c>
    </x:row>
    <x:row r="1982">
      <x:c r="A1982" t="n">
        <x:v>8287</x:v>
      </x:c>
      <x:c r="B1982" t="str">
        <x:v>2024-11</x:v>
      </x:c>
      <x:c r="C1982" t="str">
        <x:v>Contract</x:v>
      </x:c>
      <x:c r="D1982" t="str">
        <x:v>Group A</x:v>
      </x:c>
      <x:c r="E1982" s="26" t="n">
        <x:v>35212.87</x:v>
      </x:c>
      <x:c r="F1982" t="n">
        <x:v>0</x:v>
      </x:c>
      <x:c r="G1982" s="25" t="n">
        <x:v>0.230964</x:v>
      </x:c>
      <x:c r="H1982" t="n">
        <x:f>IF(G1982&lt;$B$6,1,0)</x:f>
        <x:v>0</x:v>
      </x:c>
      <x:c r="I1982" s="26" t="n">
        <x:f>H1982*IF(F1982=0,E1982*$B$7,-E1982*$B$8)</x:f>
        <x:v>0</x:v>
      </x:c>
    </x:row>
    <x:row r="1983">
      <x:c r="A1983" t="n">
        <x:v>8294</x:v>
      </x:c>
      <x:c r="B1983" t="str">
        <x:v>2024-11</x:v>
      </x:c>
      <x:c r="C1983" t="str">
        <x:v>Salaried</x:v>
      </x:c>
      <x:c r="D1983" t="str">
        <x:v>Group B</x:v>
      </x:c>
      <x:c r="E1983" s="26" t="n">
        <x:v>14793.1</x:v>
      </x:c>
      <x:c r="F1983" t="n">
        <x:v>1</x:v>
      </x:c>
      <x:c r="G1983" s="25" t="n">
        <x:v>0.509341</x:v>
      </x:c>
      <x:c r="H1983" t="n">
        <x:f>IF(G1983&lt;$B$6,1,0)</x:f>
        <x:v>0</x:v>
      </x:c>
      <x:c r="I1983" s="26" t="n">
        <x:f>H1983*IF(F1983=0,E1983*$B$7,-E1983*$B$8)</x:f>
        <x:v>0</x:v>
      </x:c>
    </x:row>
    <x:row r="1984">
      <x:c r="A1984" t="n">
        <x:v>8357</x:v>
      </x:c>
      <x:c r="B1984" t="str">
        <x:v>2024-11</x:v>
      </x:c>
      <x:c r="C1984" t="str">
        <x:v>Salaried</x:v>
      </x:c>
      <x:c r="D1984" t="str">
        <x:v>Group B</x:v>
      </x:c>
      <x:c r="E1984" s="26" t="n">
        <x:v>20480.06</x:v>
      </x:c>
      <x:c r="F1984" t="n">
        <x:v>0</x:v>
      </x:c>
      <x:c r="G1984" s="25" t="n">
        <x:v>0.208456</x:v>
      </x:c>
      <x:c r="H1984" t="n">
        <x:f>IF(G1984&lt;$B$6,1,0)</x:f>
        <x:v>0</x:v>
      </x:c>
      <x:c r="I1984" s="26" t="n">
        <x:f>H1984*IF(F1984=0,E1984*$B$7,-E1984*$B$8)</x:f>
        <x:v>0</x:v>
      </x:c>
    </x:row>
    <x:row r="1985">
      <x:c r="A1985" t="n">
        <x:v>8368</x:v>
      </x:c>
      <x:c r="B1985" t="str">
        <x:v>2024-11</x:v>
      </x:c>
      <x:c r="C1985" t="str">
        <x:v>Contract</x:v>
      </x:c>
      <x:c r="D1985" t="str">
        <x:v>Group B</x:v>
      </x:c>
      <x:c r="E1985" s="26" t="n">
        <x:v>28608.31</x:v>
      </x:c>
      <x:c r="F1985" t="n">
        <x:v>1</x:v>
      </x:c>
      <x:c r="G1985" s="25" t="n">
        <x:v>0.336958</x:v>
      </x:c>
      <x:c r="H1985" t="n">
        <x:f>IF(G1985&lt;$B$6,1,0)</x:f>
        <x:v>0</x:v>
      </x:c>
      <x:c r="I1985" s="26" t="n">
        <x:f>H1985*IF(F1985=0,E1985*$B$7,-E1985*$B$8)</x:f>
        <x:v>0</x:v>
      </x:c>
    </x:row>
    <x:row r="1986">
      <x:c r="A1986" t="n">
        <x:v>8406</x:v>
      </x:c>
      <x:c r="B1986" t="str">
        <x:v>2024-11</x:v>
      </x:c>
      <x:c r="C1986" t="str">
        <x:v>Salaried</x:v>
      </x:c>
      <x:c r="D1986" t="str">
        <x:v>Group A</x:v>
      </x:c>
      <x:c r="E1986" s="26" t="n">
        <x:v>31703.42</x:v>
      </x:c>
      <x:c r="F1986" t="n">
        <x:v>0</x:v>
      </x:c>
      <x:c r="G1986" s="25" t="n">
        <x:v>0.248451</x:v>
      </x:c>
      <x:c r="H1986" t="n">
        <x:f>IF(G1986&lt;$B$6,1,0)</x:f>
        <x:v>0</x:v>
      </x:c>
      <x:c r="I1986" s="26" t="n">
        <x:f>H1986*IF(F1986=0,E1986*$B$7,-E1986*$B$8)</x:f>
        <x:v>0</x:v>
      </x:c>
    </x:row>
    <x:row r="1987">
      <x:c r="A1987" t="n">
        <x:v>8456</x:v>
      </x:c>
      <x:c r="B1987" t="str">
        <x:v>2024-11</x:v>
      </x:c>
      <x:c r="C1987" t="str">
        <x:v>Self employed</x:v>
      </x:c>
      <x:c r="D1987" t="str">
        <x:v>Group A</x:v>
      </x:c>
      <x:c r="E1987" s="26" t="n">
        <x:v>30603.18</x:v>
      </x:c>
      <x:c r="F1987" t="n">
        <x:v>0</x:v>
      </x:c>
      <x:c r="G1987" s="25" t="n">
        <x:v>0.142464</x:v>
      </x:c>
      <x:c r="H1987" t="n">
        <x:f>IF(G1987&lt;$B$6,1,0)</x:f>
        <x:v>1</x:v>
      </x:c>
      <x:c r="I1987" s="26" t="n">
        <x:f>H1987*IF(F1987=0,E1987*$B$7,-E1987*$B$8)</x:f>
        <x:v>3672.3815999999997</x:v>
      </x:c>
    </x:row>
    <x:row r="1988">
      <x:c r="A1988" t="n">
        <x:v>8477</x:v>
      </x:c>
      <x:c r="B1988" t="str">
        <x:v>2024-11</x:v>
      </x:c>
      <x:c r="C1988" t="str">
        <x:v>Salaried</x:v>
      </x:c>
      <x:c r="D1988" t="str">
        <x:v>Group A</x:v>
      </x:c>
      <x:c r="E1988" s="26" t="n">
        <x:v>8320.88</x:v>
      </x:c>
      <x:c r="F1988" t="n">
        <x:v>0</x:v>
      </x:c>
      <x:c r="G1988" s="25" t="n">
        <x:v>0.389344</x:v>
      </x:c>
      <x:c r="H1988" t="n">
        <x:f>IF(G1988&lt;$B$6,1,0)</x:f>
        <x:v>0</x:v>
      </x:c>
      <x:c r="I1988" s="26" t="n">
        <x:f>H1988*IF(F1988=0,E1988*$B$7,-E1988*$B$8)</x:f>
        <x:v>0</x:v>
      </x:c>
    </x:row>
    <x:row r="1989">
      <x:c r="A1989" t="n">
        <x:v>8509</x:v>
      </x:c>
      <x:c r="B1989" t="str">
        <x:v>2024-11</x:v>
      </x:c>
      <x:c r="C1989" t="str">
        <x:v>Salaried</x:v>
      </x:c>
      <x:c r="D1989" t="str">
        <x:v>Group A</x:v>
      </x:c>
      <x:c r="E1989" s="26" t="n">
        <x:v>10402.46</x:v>
      </x:c>
      <x:c r="F1989" t="n">
        <x:v>0</x:v>
      </x:c>
      <x:c r="G1989" s="25" t="n">
        <x:v>0.084701</x:v>
      </x:c>
      <x:c r="H1989" t="n">
        <x:f>IF(G1989&lt;$B$6,1,0)</x:f>
        <x:v>1</x:v>
      </x:c>
      <x:c r="I1989" s="26" t="n">
        <x:f>H1989*IF(F1989=0,E1989*$B$7,-E1989*$B$8)</x:f>
        <x:v>1248.2951999999998</x:v>
      </x:c>
    </x:row>
    <x:row r="1990">
      <x:c r="A1990" t="n">
        <x:v>8540</x:v>
      </x:c>
      <x:c r="B1990" t="str">
        <x:v>2024-11</x:v>
      </x:c>
      <x:c r="C1990" t="str">
        <x:v>Salaried</x:v>
      </x:c>
      <x:c r="D1990" t="str">
        <x:v>Group B</x:v>
      </x:c>
      <x:c r="E1990" s="26" t="n">
        <x:v>33719.01</x:v>
      </x:c>
      <x:c r="F1990" t="n">
        <x:v>1</x:v>
      </x:c>
      <x:c r="G1990" s="25" t="n">
        <x:v>0.310529</x:v>
      </x:c>
      <x:c r="H1990" t="n">
        <x:f>IF(G1990&lt;$B$6,1,0)</x:f>
        <x:v>0</x:v>
      </x:c>
      <x:c r="I1990" s="26" t="n">
        <x:f>H1990*IF(F1990=0,E1990*$B$7,-E1990*$B$8)</x:f>
        <x:v>0</x:v>
      </x:c>
    </x:row>
    <x:row r="1991">
      <x:c r="A1991" t="n">
        <x:v>8553</x:v>
      </x:c>
      <x:c r="B1991" t="str">
        <x:v>2024-11</x:v>
      </x:c>
      <x:c r="C1991" t="str">
        <x:v>Contract</x:v>
      </x:c>
      <x:c r="D1991" t="str">
        <x:v>Group A</x:v>
      </x:c>
      <x:c r="E1991" s="26" t="n">
        <x:v>19776.23</x:v>
      </x:c>
      <x:c r="F1991" t="n">
        <x:v>0</x:v>
      </x:c>
      <x:c r="G1991" s="25" t="n">
        <x:v>0.272808</x:v>
      </x:c>
      <x:c r="H1991" t="n">
        <x:f>IF(G1991&lt;$B$6,1,0)</x:f>
        <x:v>0</x:v>
      </x:c>
      <x:c r="I1991" s="26" t="n">
        <x:f>H1991*IF(F1991=0,E1991*$B$7,-E1991*$B$8)</x:f>
        <x:v>0</x:v>
      </x:c>
    </x:row>
    <x:row r="1992">
      <x:c r="A1992" t="n">
        <x:v>8588</x:v>
      </x:c>
      <x:c r="B1992" t="str">
        <x:v>2024-11</x:v>
      </x:c>
      <x:c r="C1992" t="str">
        <x:v>Salaried</x:v>
      </x:c>
      <x:c r="D1992" t="str">
        <x:v>Group B</x:v>
      </x:c>
      <x:c r="E1992" s="26" t="n">
        <x:v>16902.14</x:v>
      </x:c>
      <x:c r="F1992" t="n">
        <x:v>1</x:v>
      </x:c>
      <x:c r="G1992" s="25" t="n">
        <x:v>0.19792</x:v>
      </x:c>
      <x:c r="H1992" t="n">
        <x:f>IF(G1992&lt;$B$6,1,0)</x:f>
        <x:v>0</x:v>
      </x:c>
      <x:c r="I1992" s="26" t="n">
        <x:f>H1992*IF(F1992=0,E1992*$B$7,-E1992*$B$8)</x:f>
        <x:v>0</x:v>
      </x:c>
    </x:row>
    <x:row r="1993">
      <x:c r="A1993" t="n">
        <x:v>8604</x:v>
      </x:c>
      <x:c r="B1993" t="str">
        <x:v>2024-11</x:v>
      </x:c>
      <x:c r="C1993" t="str">
        <x:v>Self employed</x:v>
      </x:c>
      <x:c r="D1993" t="str">
        <x:v>Group A</x:v>
      </x:c>
      <x:c r="E1993" s="26" t="n">
        <x:v>28299.79</x:v>
      </x:c>
      <x:c r="F1993" t="n">
        <x:v>0</x:v>
      </x:c>
      <x:c r="G1993" s="25" t="n">
        <x:v>0.184252</x:v>
      </x:c>
      <x:c r="H1993" t="n">
        <x:f>IF(G1993&lt;$B$6,1,0)</x:f>
        <x:v>0</x:v>
      </x:c>
      <x:c r="I1993" s="26" t="n">
        <x:f>H1993*IF(F1993=0,E1993*$B$7,-E1993*$B$8)</x:f>
        <x:v>0</x:v>
      </x:c>
    </x:row>
    <x:row r="1994">
      <x:c r="A1994" t="n">
        <x:v>8638</x:v>
      </x:c>
      <x:c r="B1994" t="str">
        <x:v>2024-11</x:v>
      </x:c>
      <x:c r="C1994" t="str">
        <x:v>Salaried</x:v>
      </x:c>
      <x:c r="D1994" t="str">
        <x:v>Group B</x:v>
      </x:c>
      <x:c r="E1994" s="26" t="n">
        <x:v>7445.01</x:v>
      </x:c>
      <x:c r="F1994" t="n">
        <x:v>0</x:v>
      </x:c>
      <x:c r="G1994" s="25" t="n">
        <x:v>0.233866</x:v>
      </x:c>
      <x:c r="H1994" t="n">
        <x:f>IF(G1994&lt;$B$6,1,0)</x:f>
        <x:v>0</x:v>
      </x:c>
      <x:c r="I1994" s="26" t="n">
        <x:f>H1994*IF(F1994=0,E1994*$B$7,-E1994*$B$8)</x:f>
        <x:v>0</x:v>
      </x:c>
    </x:row>
    <x:row r="1995">
      <x:c r="A1995" t="n">
        <x:v>8656</x:v>
      </x:c>
      <x:c r="B1995" t="str">
        <x:v>2024-11</x:v>
      </x:c>
      <x:c r="C1995" t="str">
        <x:v>Salaried</x:v>
      </x:c>
      <x:c r="D1995" t="str">
        <x:v>Group B</x:v>
      </x:c>
      <x:c r="E1995" s="26" t="n">
        <x:v>16640.16</x:v>
      </x:c>
      <x:c r="F1995" t="n">
        <x:v>0</x:v>
      </x:c>
      <x:c r="G1995" s="25" t="n">
        <x:v>0.443171</x:v>
      </x:c>
      <x:c r="H1995" t="n">
        <x:f>IF(G1995&lt;$B$6,1,0)</x:f>
        <x:v>0</x:v>
      </x:c>
      <x:c r="I1995" s="26" t="n">
        <x:f>H1995*IF(F1995=0,E1995*$B$7,-E1995*$B$8)</x:f>
        <x:v>0</x:v>
      </x:c>
    </x:row>
    <x:row r="1996">
      <x:c r="A1996" t="n">
        <x:v>8682</x:v>
      </x:c>
      <x:c r="B1996" t="str">
        <x:v>2024-11</x:v>
      </x:c>
      <x:c r="C1996" t="str">
        <x:v>Salaried</x:v>
      </x:c>
      <x:c r="D1996" t="str">
        <x:v>Group B</x:v>
      </x:c>
      <x:c r="E1996" s="26" t="n">
        <x:v>23670.42</x:v>
      </x:c>
      <x:c r="F1996" t="n">
        <x:v>0</x:v>
      </x:c>
      <x:c r="G1996" s="25" t="n">
        <x:v>0.564989</x:v>
      </x:c>
      <x:c r="H1996" t="n">
        <x:f>IF(G1996&lt;$B$6,1,0)</x:f>
        <x:v>0</x:v>
      </x:c>
      <x:c r="I1996" s="26" t="n">
        <x:f>H1996*IF(F1996=0,E1996*$B$7,-E1996*$B$8)</x:f>
        <x:v>0</x:v>
      </x:c>
    </x:row>
    <x:row r="1997">
      <x:c r="A1997" t="n">
        <x:v>8698</x:v>
      </x:c>
      <x:c r="B1997" t="str">
        <x:v>2024-11</x:v>
      </x:c>
      <x:c r="C1997" t="str">
        <x:v>Self employed</x:v>
      </x:c>
      <x:c r="D1997" t="str">
        <x:v>Group A</x:v>
      </x:c>
      <x:c r="E1997" s="26" t="n">
        <x:v>6051.78</x:v>
      </x:c>
      <x:c r="F1997" t="n">
        <x:v>1</x:v>
      </x:c>
      <x:c r="G1997" s="25" t="n">
        <x:v>0.649235</x:v>
      </x:c>
      <x:c r="H1997" t="n">
        <x:f>IF(G1997&lt;$B$6,1,0)</x:f>
        <x:v>0</x:v>
      </x:c>
      <x:c r="I1997" s="26" t="n">
        <x:f>H1997*IF(F1997=0,E1997*$B$7,-E1997*$B$8)</x:f>
        <x:v>0</x:v>
      </x:c>
    </x:row>
    <x:row r="1998">
      <x:c r="A1998" t="n">
        <x:v>8713</x:v>
      </x:c>
      <x:c r="B1998" t="str">
        <x:v>2024-11</x:v>
      </x:c>
      <x:c r="C1998" t="str">
        <x:v>Salaried</x:v>
      </x:c>
      <x:c r="D1998" t="str">
        <x:v>Group A</x:v>
      </x:c>
      <x:c r="E1998" s="26" t="n">
        <x:v>39606.65</x:v>
      </x:c>
      <x:c r="F1998" t="n">
        <x:v>0</x:v>
      </x:c>
      <x:c r="G1998" s="25" t="n">
        <x:v>0.05582</x:v>
      </x:c>
      <x:c r="H1998" t="n">
        <x:f>IF(G1998&lt;$B$6,1,0)</x:f>
        <x:v>1</x:v>
      </x:c>
      <x:c r="I1998" s="26" t="n">
        <x:f>H1998*IF(F1998=0,E1998*$B$7,-E1998*$B$8)</x:f>
        <x:v>4752.798</x:v>
      </x:c>
    </x:row>
    <x:row r="1999">
      <x:c r="A1999" t="n">
        <x:v>8755</x:v>
      </x:c>
      <x:c r="B1999" t="str">
        <x:v>2024-11</x:v>
      </x:c>
      <x:c r="C1999" t="str">
        <x:v>Salaried</x:v>
      </x:c>
      <x:c r="D1999" t="str">
        <x:v>Group A</x:v>
      </x:c>
      <x:c r="E1999" s="26" t="n">
        <x:v>15326.99</x:v>
      </x:c>
      <x:c r="F1999" t="n">
        <x:v>0</x:v>
      </x:c>
      <x:c r="G1999" s="25" t="n">
        <x:v>0.057742</x:v>
      </x:c>
      <x:c r="H1999" t="n">
        <x:f>IF(G1999&lt;$B$6,1,0)</x:f>
        <x:v>1</x:v>
      </x:c>
      <x:c r="I1999" s="26" t="n">
        <x:f>H1999*IF(F1999=0,E1999*$B$7,-E1999*$B$8)</x:f>
        <x:v>1839.2387999999999</x:v>
      </x:c>
    </x:row>
    <x:row r="2000">
      <x:c r="A2000" t="n">
        <x:v>8844</x:v>
      </x:c>
      <x:c r="B2000" t="str">
        <x:v>2024-11</x:v>
      </x:c>
      <x:c r="C2000" t="str">
        <x:v>Contract</x:v>
      </x:c>
      <x:c r="D2000" t="str">
        <x:v>Group A</x:v>
      </x:c>
      <x:c r="E2000" s="26" t="n">
        <x:v>69768.81</x:v>
      </x:c>
      <x:c r="F2000" t="n">
        <x:v>1</x:v>
      </x:c>
      <x:c r="G2000" s="25" t="n">
        <x:v>0.805133</x:v>
      </x:c>
      <x:c r="H2000" t="n">
        <x:f>IF(G2000&lt;$B$6,1,0)</x:f>
        <x:v>0</x:v>
      </x:c>
      <x:c r="I2000" s="26" t="n">
        <x:f>H2000*IF(F2000=0,E2000*$B$7,-E2000*$B$8)</x:f>
        <x:v>0</x:v>
      </x:c>
    </x:row>
    <x:row r="2001">
      <x:c r="A2001" t="n">
        <x:v>8846</x:v>
      </x:c>
      <x:c r="B2001" t="str">
        <x:v>2024-11</x:v>
      </x:c>
      <x:c r="C2001" t="str">
        <x:v>Self employed</x:v>
      </x:c>
      <x:c r="D2001" t="str">
        <x:v>Group A</x:v>
      </x:c>
      <x:c r="E2001" s="26" t="n">
        <x:v>8419.09</x:v>
      </x:c>
      <x:c r="F2001" t="n">
        <x:v>0</x:v>
      </x:c>
      <x:c r="G2001" s="25" t="n">
        <x:v>0.22402</x:v>
      </x:c>
      <x:c r="H2001" t="n">
        <x:f>IF(G2001&lt;$B$6,1,0)</x:f>
        <x:v>0</x:v>
      </x:c>
      <x:c r="I2001" s="26" t="n">
        <x:f>H2001*IF(F2001=0,E2001*$B$7,-E2001*$B$8)</x:f>
        <x:v>0</x:v>
      </x:c>
    </x:row>
    <x:row r="2002">
      <x:c r="A2002" t="n">
        <x:v>8870</x:v>
      </x:c>
      <x:c r="B2002" t="str">
        <x:v>2024-11</x:v>
      </x:c>
      <x:c r="C2002" t="str">
        <x:v>Salaried</x:v>
      </x:c>
      <x:c r="D2002" t="str">
        <x:v>Group A</x:v>
      </x:c>
      <x:c r="E2002" s="26" t="n">
        <x:v>11733.87</x:v>
      </x:c>
      <x:c r="F2002" t="n">
        <x:v>0</x:v>
      </x:c>
      <x:c r="G2002" s="25" t="n">
        <x:v>0.17471</x:v>
      </x:c>
      <x:c r="H2002" t="n">
        <x:f>IF(G2002&lt;$B$6,1,0)</x:f>
        <x:v>0</x:v>
      </x:c>
      <x:c r="I2002" s="26" t="n">
        <x:f>H2002*IF(F2002=0,E2002*$B$7,-E2002*$B$8)</x:f>
        <x:v>0</x:v>
      </x:c>
    </x:row>
    <x:row r="2003">
      <x:c r="A2003" t="n">
        <x:v>8927</x:v>
      </x:c>
      <x:c r="B2003" t="str">
        <x:v>2024-11</x:v>
      </x:c>
      <x:c r="C2003" t="str">
        <x:v>Salaried</x:v>
      </x:c>
      <x:c r="D2003" t="str">
        <x:v>Group B</x:v>
      </x:c>
      <x:c r="E2003" s="26" t="n">
        <x:v>32676.39</x:v>
      </x:c>
      <x:c r="F2003" t="n">
        <x:v>0</x:v>
      </x:c>
      <x:c r="G2003" s="25" t="n">
        <x:v>0.149861</x:v>
      </x:c>
      <x:c r="H2003" t="n">
        <x:f>IF(G2003&lt;$B$6,1,0)</x:f>
        <x:v>1</x:v>
      </x:c>
      <x:c r="I2003" s="26" t="n">
        <x:f>H2003*IF(F2003=0,E2003*$B$7,-E2003*$B$8)</x:f>
        <x:v>3921.1668</x:v>
      </x:c>
    </x:row>
    <x:row r="2004">
      <x:c r="A2004" t="n">
        <x:v>9038</x:v>
      </x:c>
      <x:c r="B2004" t="str">
        <x:v>2024-11</x:v>
      </x:c>
      <x:c r="C2004" t="str">
        <x:v>Salaried</x:v>
      </x:c>
      <x:c r="D2004" t="str">
        <x:v>Group B</x:v>
      </x:c>
      <x:c r="E2004" s="26" t="n">
        <x:v>25351.66</x:v>
      </x:c>
      <x:c r="F2004" t="n">
        <x:v>0</x:v>
      </x:c>
      <x:c r="G2004" s="25" t="n">
        <x:v>0.10501</x:v>
      </x:c>
      <x:c r="H2004" t="n">
        <x:f>IF(G2004&lt;$B$6,1,0)</x:f>
        <x:v>1</x:v>
      </x:c>
      <x:c r="I2004" s="26" t="n">
        <x:f>H2004*IF(F2004=0,E2004*$B$7,-E2004*$B$8)</x:f>
        <x:v>3042.1992</x:v>
      </x:c>
    </x:row>
    <x:row r="2005">
      <x:c r="A2005" t="n">
        <x:v>9041</x:v>
      </x:c>
      <x:c r="B2005" t="str">
        <x:v>2024-11</x:v>
      </x:c>
      <x:c r="C2005" t="str">
        <x:v>Salaried</x:v>
      </x:c>
      <x:c r="D2005" t="str">
        <x:v>Group A</x:v>
      </x:c>
      <x:c r="E2005" s="26" t="n">
        <x:v>22968.65</x:v>
      </x:c>
      <x:c r="F2005" t="n">
        <x:v>0</x:v>
      </x:c>
      <x:c r="G2005" s="25" t="n">
        <x:v>0.486301</x:v>
      </x:c>
      <x:c r="H2005" t="n">
        <x:f>IF(G2005&lt;$B$6,1,0)</x:f>
        <x:v>0</x:v>
      </x:c>
      <x:c r="I2005" s="26" t="n">
        <x:f>H2005*IF(F2005=0,E2005*$B$7,-E2005*$B$8)</x:f>
        <x:v>0</x:v>
      </x:c>
    </x:row>
    <x:row r="2006">
      <x:c r="A2006" t="n">
        <x:v>9065</x:v>
      </x:c>
      <x:c r="B2006" t="str">
        <x:v>2024-11</x:v>
      </x:c>
      <x:c r="C2006" t="str">
        <x:v>Self employed</x:v>
      </x:c>
      <x:c r="D2006" t="str">
        <x:v>Group A</x:v>
      </x:c>
      <x:c r="E2006" s="26" t="n">
        <x:v>13562.76</x:v>
      </x:c>
      <x:c r="F2006" t="n">
        <x:v>1</x:v>
      </x:c>
      <x:c r="G2006" s="25" t="n">
        <x:v>0.19573</x:v>
      </x:c>
      <x:c r="H2006" t="n">
        <x:f>IF(G2006&lt;$B$6,1,0)</x:f>
        <x:v>0</x:v>
      </x:c>
      <x:c r="I2006" s="26" t="n">
        <x:f>H2006*IF(F2006=0,E2006*$B$7,-E2006*$B$8)</x:f>
        <x:v>0</x:v>
      </x:c>
    </x:row>
    <x:row r="2007">
      <x:c r="A2007" t="n">
        <x:v>9069</x:v>
      </x:c>
      <x:c r="B2007" t="str">
        <x:v>2024-11</x:v>
      </x:c>
      <x:c r="C2007" t="str">
        <x:v>Salaried</x:v>
      </x:c>
      <x:c r="D2007" t="str">
        <x:v>Group A</x:v>
      </x:c>
      <x:c r="E2007" s="26" t="n">
        <x:v>18316.98</x:v>
      </x:c>
      <x:c r="F2007" t="n">
        <x:v>1</x:v>
      </x:c>
      <x:c r="G2007" s="25" t="n">
        <x:v>0.210223</x:v>
      </x:c>
      <x:c r="H2007" t="n">
        <x:f>IF(G2007&lt;$B$6,1,0)</x:f>
        <x:v>0</x:v>
      </x:c>
      <x:c r="I2007" s="26" t="n">
        <x:f>H2007*IF(F2007=0,E2007*$B$7,-E2007*$B$8)</x:f>
        <x:v>0</x:v>
      </x:c>
    </x:row>
    <x:row r="2008">
      <x:c r="A2008" t="n">
        <x:v>9094</x:v>
      </x:c>
      <x:c r="B2008" t="str">
        <x:v>2024-11</x:v>
      </x:c>
      <x:c r="C2008" t="str">
        <x:v>Salaried</x:v>
      </x:c>
      <x:c r="D2008" t="str">
        <x:v>Group A</x:v>
      </x:c>
      <x:c r="E2008" s="26" t="n">
        <x:v>9114.33</x:v>
      </x:c>
      <x:c r="F2008" t="n">
        <x:v>0</x:v>
      </x:c>
      <x:c r="G2008" s="25" t="n">
        <x:v>0.127249</x:v>
      </x:c>
      <x:c r="H2008" t="n">
        <x:f>IF(G2008&lt;$B$6,1,0)</x:f>
        <x:v>1</x:v>
      </x:c>
      <x:c r="I2008" s="26" t="n">
        <x:f>H2008*IF(F2008=0,E2008*$B$7,-E2008*$B$8)</x:f>
        <x:v>1093.7196</x:v>
      </x:c>
    </x:row>
    <x:row r="2009">
      <x:c r="A2009" t="n">
        <x:v>9096</x:v>
      </x:c>
      <x:c r="B2009" t="str">
        <x:v>2024-11</x:v>
      </x:c>
      <x:c r="C2009" t="str">
        <x:v>Contract</x:v>
      </x:c>
      <x:c r="D2009" t="str">
        <x:v>Group B</x:v>
      </x:c>
      <x:c r="E2009" s="26" t="n">
        <x:v>33698.63</x:v>
      </x:c>
      <x:c r="F2009" t="n">
        <x:v>0</x:v>
      </x:c>
      <x:c r="G2009" s="25" t="n">
        <x:v>0.482961</x:v>
      </x:c>
      <x:c r="H2009" t="n">
        <x:f>IF(G2009&lt;$B$6,1,0)</x:f>
        <x:v>0</x:v>
      </x:c>
      <x:c r="I2009" s="26" t="n">
        <x:f>H2009*IF(F2009=0,E2009*$B$7,-E2009*$B$8)</x:f>
        <x:v>0</x:v>
      </x:c>
    </x:row>
    <x:row r="2010">
      <x:c r="A2010" t="n">
        <x:v>9146</x:v>
      </x:c>
      <x:c r="B2010" t="str">
        <x:v>2024-11</x:v>
      </x:c>
      <x:c r="C2010" t="str">
        <x:v>Self employed</x:v>
      </x:c>
      <x:c r="D2010" t="str">
        <x:v>Group B</x:v>
      </x:c>
      <x:c r="E2010" s="26" t="n">
        <x:v>9017.27</x:v>
      </x:c>
      <x:c r="F2010" t="n">
        <x:v>1</x:v>
      </x:c>
      <x:c r="G2010" s="25" t="n">
        <x:v>0.290923</x:v>
      </x:c>
      <x:c r="H2010" t="n">
        <x:f>IF(G2010&lt;$B$6,1,0)</x:f>
        <x:v>0</x:v>
      </x:c>
      <x:c r="I2010" s="26" t="n">
        <x:f>H2010*IF(F2010=0,E2010*$B$7,-E2010*$B$8)</x:f>
        <x:v>0</x:v>
      </x:c>
    </x:row>
    <x:row r="2011">
      <x:c r="A2011" t="n">
        <x:v>9158</x:v>
      </x:c>
      <x:c r="B2011" t="str">
        <x:v>2024-11</x:v>
      </x:c>
      <x:c r="C2011" t="str">
        <x:v>Salaried</x:v>
      </x:c>
      <x:c r="D2011" t="str">
        <x:v>Group B</x:v>
      </x:c>
      <x:c r="E2011" s="26" t="n">
        <x:v>8309.53</x:v>
      </x:c>
      <x:c r="F2011" t="n">
        <x:v>0</x:v>
      </x:c>
      <x:c r="G2011" s="25" t="n">
        <x:v>0.35398</x:v>
      </x:c>
      <x:c r="H2011" t="n">
        <x:f>IF(G2011&lt;$B$6,1,0)</x:f>
        <x:v>0</x:v>
      </x:c>
      <x:c r="I2011" s="26" t="n">
        <x:f>H2011*IF(F2011=0,E2011*$B$7,-E2011*$B$8)</x:f>
        <x:v>0</x:v>
      </x:c>
    </x:row>
    <x:row r="2012">
      <x:c r="A2012" t="n">
        <x:v>9215</x:v>
      </x:c>
      <x:c r="B2012" t="str">
        <x:v>2024-11</x:v>
      </x:c>
      <x:c r="C2012" t="str">
        <x:v>Self employed</x:v>
      </x:c>
      <x:c r="D2012" t="str">
        <x:v>Group A</x:v>
      </x:c>
      <x:c r="E2012" s="26" t="n">
        <x:v>4297.46</x:v>
      </x:c>
      <x:c r="F2012" t="n">
        <x:v>0</x:v>
      </x:c>
      <x:c r="G2012" s="25" t="n">
        <x:v>0.07089</x:v>
      </x:c>
      <x:c r="H2012" t="n">
        <x:f>IF(G2012&lt;$B$6,1,0)</x:f>
        <x:v>1</x:v>
      </x:c>
      <x:c r="I2012" s="26" t="n">
        <x:f>H2012*IF(F2012=0,E2012*$B$7,-E2012*$B$8)</x:f>
        <x:v>515.6952</x:v>
      </x:c>
    </x:row>
    <x:row r="2013">
      <x:c r="A2013" t="n">
        <x:v>9236</x:v>
      </x:c>
      <x:c r="B2013" t="str">
        <x:v>2024-11</x:v>
      </x:c>
      <x:c r="C2013" t="str">
        <x:v>Contract</x:v>
      </x:c>
      <x:c r="D2013" t="str">
        <x:v>Group A</x:v>
      </x:c>
      <x:c r="E2013" s="26" t="n">
        <x:v>45392.95</x:v>
      </x:c>
      <x:c r="F2013" t="n">
        <x:v>0</x:v>
      </x:c>
      <x:c r="G2013" s="25" t="n">
        <x:v>0.52531</x:v>
      </x:c>
      <x:c r="H2013" t="n">
        <x:f>IF(G2013&lt;$B$6,1,0)</x:f>
        <x:v>0</x:v>
      </x:c>
      <x:c r="I2013" s="26" t="n">
        <x:f>H2013*IF(F2013=0,E2013*$B$7,-E2013*$B$8)</x:f>
        <x:v>0</x:v>
      </x:c>
    </x:row>
    <x:row r="2014">
      <x:c r="A2014" t="n">
        <x:v>9262</x:v>
      </x:c>
      <x:c r="B2014" t="str">
        <x:v>2024-11</x:v>
      </x:c>
      <x:c r="C2014" t="str">
        <x:v>Salaried</x:v>
      </x:c>
      <x:c r="D2014" t="str">
        <x:v>Group B</x:v>
      </x:c>
      <x:c r="E2014" s="26" t="n">
        <x:v>15646</x:v>
      </x:c>
      <x:c r="F2014" t="n">
        <x:v>0</x:v>
      </x:c>
      <x:c r="G2014" s="25" t="n">
        <x:v>0.079471</x:v>
      </x:c>
      <x:c r="H2014" t="n">
        <x:f>IF(G2014&lt;$B$6,1,0)</x:f>
        <x:v>1</x:v>
      </x:c>
      <x:c r="I2014" s="26" t="n">
        <x:f>H2014*IF(F2014=0,E2014*$B$7,-E2014*$B$8)</x:f>
        <x:v>1877.52</x:v>
      </x:c>
    </x:row>
    <x:row r="2015">
      <x:c r="A2015" t="n">
        <x:v>9303</x:v>
      </x:c>
      <x:c r="B2015" t="str">
        <x:v>2024-11</x:v>
      </x:c>
      <x:c r="C2015" t="str">
        <x:v>Self employed</x:v>
      </x:c>
      <x:c r="D2015" t="str">
        <x:v>Group A</x:v>
      </x:c>
      <x:c r="E2015" s="26" t="n">
        <x:v>15895.81</x:v>
      </x:c>
      <x:c r="F2015" t="n">
        <x:v>0</x:v>
      </x:c>
      <x:c r="G2015" s="25" t="n">
        <x:v>0.120848</x:v>
      </x:c>
      <x:c r="H2015" t="n">
        <x:f>IF(G2015&lt;$B$6,1,0)</x:f>
        <x:v>1</x:v>
      </x:c>
      <x:c r="I2015" s="26" t="n">
        <x:f>H2015*IF(F2015=0,E2015*$B$7,-E2015*$B$8)</x:f>
        <x:v>1907.4971999999998</x:v>
      </x:c>
    </x:row>
    <x:row r="2016">
      <x:c r="A2016" t="n">
        <x:v>9308</x:v>
      </x:c>
      <x:c r="B2016" t="str">
        <x:v>2024-11</x:v>
      </x:c>
      <x:c r="C2016" t="str">
        <x:v>Self employed</x:v>
      </x:c>
      <x:c r="D2016" t="str">
        <x:v>Group B</x:v>
      </x:c>
      <x:c r="E2016" s="26" t="n">
        <x:v>29748.91</x:v>
      </x:c>
      <x:c r="F2016" t="n">
        <x:v>0</x:v>
      </x:c>
      <x:c r="G2016" s="25" t="n">
        <x:v>0.144861</x:v>
      </x:c>
      <x:c r="H2016" t="n">
        <x:f>IF(G2016&lt;$B$6,1,0)</x:f>
        <x:v>1</x:v>
      </x:c>
      <x:c r="I2016" s="26" t="n">
        <x:f>H2016*IF(F2016=0,E2016*$B$7,-E2016*$B$8)</x:f>
        <x:v>3569.8691999999996</x:v>
      </x:c>
    </x:row>
    <x:row r="2017">
      <x:c r="A2017" t="n">
        <x:v>9336</x:v>
      </x:c>
      <x:c r="B2017" t="str">
        <x:v>2024-11</x:v>
      </x:c>
      <x:c r="C2017" t="str">
        <x:v>Salaried</x:v>
      </x:c>
      <x:c r="D2017" t="str">
        <x:v>Group B</x:v>
      </x:c>
      <x:c r="E2017" s="26" t="n">
        <x:v>13720.98</x:v>
      </x:c>
      <x:c r="F2017" t="n">
        <x:v>0</x:v>
      </x:c>
      <x:c r="G2017" s="25" t="n">
        <x:v>0.020465</x:v>
      </x:c>
      <x:c r="H2017" t="n">
        <x:f>IF(G2017&lt;$B$6,1,0)</x:f>
        <x:v>1</x:v>
      </x:c>
      <x:c r="I2017" s="26" t="n">
        <x:f>H2017*IF(F2017=0,E2017*$B$7,-E2017*$B$8)</x:f>
        <x:v>1646.5176</x:v>
      </x:c>
    </x:row>
    <x:row r="2018">
      <x:c r="A2018" t="n">
        <x:v>9338</x:v>
      </x:c>
      <x:c r="B2018" t="str">
        <x:v>2024-11</x:v>
      </x:c>
      <x:c r="C2018" t="str">
        <x:v>Contract</x:v>
      </x:c>
      <x:c r="D2018" t="str">
        <x:v>Group A</x:v>
      </x:c>
      <x:c r="E2018" s="26" t="n">
        <x:v>30062.47</x:v>
      </x:c>
      <x:c r="F2018" t="n">
        <x:v>1</x:v>
      </x:c>
      <x:c r="G2018" s="25" t="n">
        <x:v>0.036793</x:v>
      </x:c>
      <x:c r="H2018" t="n">
        <x:f>IF(G2018&lt;$B$6,1,0)</x:f>
        <x:v>1</x:v>
      </x:c>
      <x:c r="I2018" s="26" t="n">
        <x:f>H2018*IF(F2018=0,E2018*$B$7,-E2018*$B$8)</x:f>
        <x:v>-19540.6055</x:v>
      </x:c>
    </x:row>
    <x:row r="2019">
      <x:c r="A2019" t="n">
        <x:v>9343</x:v>
      </x:c>
      <x:c r="B2019" t="str">
        <x:v>2024-11</x:v>
      </x:c>
      <x:c r="C2019" t="str">
        <x:v>Salaried</x:v>
      </x:c>
      <x:c r="D2019" t="str">
        <x:v>Group B</x:v>
      </x:c>
      <x:c r="E2019" s="26" t="n">
        <x:v>7040.87</x:v>
      </x:c>
      <x:c r="F2019" t="n">
        <x:v>0</x:v>
      </x:c>
      <x:c r="G2019" s="25" t="n">
        <x:v>0.342524</x:v>
      </x:c>
      <x:c r="H2019" t="n">
        <x:f>IF(G2019&lt;$B$6,1,0)</x:f>
        <x:v>0</x:v>
      </x:c>
      <x:c r="I2019" s="26" t="n">
        <x:f>H2019*IF(F2019=0,E2019*$B$7,-E2019*$B$8)</x:f>
        <x:v>0</x:v>
      </x:c>
    </x:row>
    <x:row r="2020">
      <x:c r="A2020" t="n">
        <x:v>9345</x:v>
      </x:c>
      <x:c r="B2020" t="str">
        <x:v>2024-11</x:v>
      </x:c>
      <x:c r="C2020" t="str">
        <x:v>Salaried</x:v>
      </x:c>
      <x:c r="D2020" t="str">
        <x:v>Group B</x:v>
      </x:c>
      <x:c r="E2020" s="26" t="n">
        <x:v>4912.64</x:v>
      </x:c>
      <x:c r="F2020" t="n">
        <x:v>0</x:v>
      </x:c>
      <x:c r="G2020" s="25" t="n">
        <x:v>0.023851</x:v>
      </x:c>
      <x:c r="H2020" t="n">
        <x:f>IF(G2020&lt;$B$6,1,0)</x:f>
        <x:v>1</x:v>
      </x:c>
      <x:c r="I2020" s="26" t="n">
        <x:f>H2020*IF(F2020=0,E2020*$B$7,-E2020*$B$8)</x:f>
        <x:v>589.5168</x:v>
      </x:c>
    </x:row>
    <x:row r="2021">
      <x:c r="A2021" t="n">
        <x:v>9360</x:v>
      </x:c>
      <x:c r="B2021" t="str">
        <x:v>2024-11</x:v>
      </x:c>
      <x:c r="C2021" t="str">
        <x:v>Salaried</x:v>
      </x:c>
      <x:c r="D2021" t="str">
        <x:v>Group A</x:v>
      </x:c>
      <x:c r="E2021" s="26" t="n">
        <x:v>22759.56</x:v>
      </x:c>
      <x:c r="F2021" t="n">
        <x:v>0</x:v>
      </x:c>
      <x:c r="G2021" s="25" t="n">
        <x:v>0.095072</x:v>
      </x:c>
      <x:c r="H2021" t="n">
        <x:f>IF(G2021&lt;$B$6,1,0)</x:f>
        <x:v>1</x:v>
      </x:c>
      <x:c r="I2021" s="26" t="n">
        <x:f>H2021*IF(F2021=0,E2021*$B$7,-E2021*$B$8)</x:f>
        <x:v>2731.1472</x:v>
      </x:c>
    </x:row>
    <x:row r="2022">
      <x:c r="A2022" t="n">
        <x:v>9364</x:v>
      </x:c>
      <x:c r="B2022" t="str">
        <x:v>2024-11</x:v>
      </x:c>
      <x:c r="C2022" t="str">
        <x:v>Self employed</x:v>
      </x:c>
      <x:c r="D2022" t="str">
        <x:v>Group A</x:v>
      </x:c>
      <x:c r="E2022" s="26" t="n">
        <x:v>17078.34</x:v>
      </x:c>
      <x:c r="F2022" t="n">
        <x:v>0</x:v>
      </x:c>
      <x:c r="G2022" s="25" t="n">
        <x:v>0.21393</x:v>
      </x:c>
      <x:c r="H2022" t="n">
        <x:f>IF(G2022&lt;$B$6,1,0)</x:f>
        <x:v>0</x:v>
      </x:c>
      <x:c r="I2022" s="26" t="n">
        <x:f>H2022*IF(F2022=0,E2022*$B$7,-E2022*$B$8)</x:f>
        <x:v>0</x:v>
      </x:c>
    </x:row>
    <x:row r="2023">
      <x:c r="A2023" t="n">
        <x:v>9376</x:v>
      </x:c>
      <x:c r="B2023" t="str">
        <x:v>2024-11</x:v>
      </x:c>
      <x:c r="C2023" t="str">
        <x:v>Self employed</x:v>
      </x:c>
      <x:c r="D2023" t="str">
        <x:v>Group A</x:v>
      </x:c>
      <x:c r="E2023" s="26" t="n">
        <x:v>26237.97</x:v>
      </x:c>
      <x:c r="F2023" t="n">
        <x:v>1</x:v>
      </x:c>
      <x:c r="G2023" s="25" t="n">
        <x:v>0.532047</x:v>
      </x:c>
      <x:c r="H2023" t="n">
        <x:f>IF(G2023&lt;$B$6,1,0)</x:f>
        <x:v>0</x:v>
      </x:c>
      <x:c r="I2023" s="26" t="n">
        <x:f>H2023*IF(F2023=0,E2023*$B$7,-E2023*$B$8)</x:f>
        <x:v>0</x:v>
      </x:c>
    </x:row>
    <x:row r="2024">
      <x:c r="A2024" t="n">
        <x:v>9394</x:v>
      </x:c>
      <x:c r="B2024" t="str">
        <x:v>2024-11</x:v>
      </x:c>
      <x:c r="C2024" t="str">
        <x:v>Salaried</x:v>
      </x:c>
      <x:c r="D2024" t="str">
        <x:v>Group B</x:v>
      </x:c>
      <x:c r="E2024" s="26" t="n">
        <x:v>25595.57</x:v>
      </x:c>
      <x:c r="F2024" t="n">
        <x:v>1</x:v>
      </x:c>
      <x:c r="G2024" s="25" t="n">
        <x:v>0.592615</x:v>
      </x:c>
      <x:c r="H2024" t="n">
        <x:f>IF(G2024&lt;$B$6,1,0)</x:f>
        <x:v>0</x:v>
      </x:c>
      <x:c r="I2024" s="26" t="n">
        <x:f>H2024*IF(F2024=0,E2024*$B$7,-E2024*$B$8)</x:f>
        <x:v>0</x:v>
      </x:c>
    </x:row>
    <x:row r="2025">
      <x:c r="A2025" t="n">
        <x:v>9415</x:v>
      </x:c>
      <x:c r="B2025" t="str">
        <x:v>2024-11</x:v>
      </x:c>
      <x:c r="C2025" t="str">
        <x:v>Self employed</x:v>
      </x:c>
      <x:c r="D2025" t="str">
        <x:v>Group B</x:v>
      </x:c>
      <x:c r="E2025" s="26" t="n">
        <x:v>15642.93</x:v>
      </x:c>
      <x:c r="F2025" t="n">
        <x:v>0</x:v>
      </x:c>
      <x:c r="G2025" s="25" t="n">
        <x:v>0.203234</x:v>
      </x:c>
      <x:c r="H2025" t="n">
        <x:f>IF(G2025&lt;$B$6,1,0)</x:f>
        <x:v>0</x:v>
      </x:c>
      <x:c r="I2025" s="26" t="n">
        <x:f>H2025*IF(F2025=0,E2025*$B$7,-E2025*$B$8)</x:f>
        <x:v>0</x:v>
      </x:c>
    </x:row>
    <x:row r="2026">
      <x:c r="A2026" t="n">
        <x:v>9483</x:v>
      </x:c>
      <x:c r="B2026" t="str">
        <x:v>2024-11</x:v>
      </x:c>
      <x:c r="C2026" t="str">
        <x:v>Salaried</x:v>
      </x:c>
      <x:c r="D2026" t="str">
        <x:v>Group B</x:v>
      </x:c>
      <x:c r="E2026" s="26" t="n">
        <x:v>17851.95</x:v>
      </x:c>
      <x:c r="F2026" t="n">
        <x:v>0</x:v>
      </x:c>
      <x:c r="G2026" s="25" t="n">
        <x:v>0.282138</x:v>
      </x:c>
      <x:c r="H2026" t="n">
        <x:f>IF(G2026&lt;$B$6,1,0)</x:f>
        <x:v>0</x:v>
      </x:c>
      <x:c r="I2026" s="26" t="n">
        <x:f>H2026*IF(F2026=0,E2026*$B$7,-E2026*$B$8)</x:f>
        <x:v>0</x:v>
      </x:c>
    </x:row>
    <x:row r="2027">
      <x:c r="A2027" t="n">
        <x:v>9505</x:v>
      </x:c>
      <x:c r="B2027" t="str">
        <x:v>2024-11</x:v>
      </x:c>
      <x:c r="C2027" t="str">
        <x:v>Salaried</x:v>
      </x:c>
      <x:c r="D2027" t="str">
        <x:v>Group A</x:v>
      </x:c>
      <x:c r="E2027" s="26" t="n">
        <x:v>23290.68</x:v>
      </x:c>
      <x:c r="F2027" t="n">
        <x:v>1</x:v>
      </x:c>
      <x:c r="G2027" s="25" t="n">
        <x:v>0.78706</x:v>
      </x:c>
      <x:c r="H2027" t="n">
        <x:f>IF(G2027&lt;$B$6,1,0)</x:f>
        <x:v>0</x:v>
      </x:c>
      <x:c r="I2027" s="26" t="n">
        <x:f>H2027*IF(F2027=0,E2027*$B$7,-E2027*$B$8)</x:f>
        <x:v>0</x:v>
      </x:c>
    </x:row>
    <x:row r="2028">
      <x:c r="A2028" t="n">
        <x:v>9522</x:v>
      </x:c>
      <x:c r="B2028" t="str">
        <x:v>2024-11</x:v>
      </x:c>
      <x:c r="C2028" t="str">
        <x:v>Salaried</x:v>
      </x:c>
      <x:c r="D2028" t="str">
        <x:v>Group A</x:v>
      </x:c>
      <x:c r="E2028" s="26" t="n">
        <x:v>8385.2</x:v>
      </x:c>
      <x:c r="F2028" t="n">
        <x:v>0</x:v>
      </x:c>
      <x:c r="G2028" s="25" t="n">
        <x:v>0.1674</x:v>
      </x:c>
      <x:c r="H2028" t="n">
        <x:f>IF(G2028&lt;$B$6,1,0)</x:f>
        <x:v>0</x:v>
      </x:c>
      <x:c r="I2028" s="26" t="n">
        <x:f>H2028*IF(F2028=0,E2028*$B$7,-E2028*$B$8)</x:f>
        <x:v>0</x:v>
      </x:c>
    </x:row>
    <x:row r="2029">
      <x:c r="A2029" t="n">
        <x:v>9545</x:v>
      </x:c>
      <x:c r="B2029" t="str">
        <x:v>2024-11</x:v>
      </x:c>
      <x:c r="C2029" t="str">
        <x:v>Salaried</x:v>
      </x:c>
      <x:c r="D2029" t="str">
        <x:v>Group B</x:v>
      </x:c>
      <x:c r="E2029" s="26" t="n">
        <x:v>22065.55</x:v>
      </x:c>
      <x:c r="F2029" t="n">
        <x:v>1</x:v>
      </x:c>
      <x:c r="G2029" s="25" t="n">
        <x:v>0.18092</x:v>
      </x:c>
      <x:c r="H2029" t="n">
        <x:f>IF(G2029&lt;$B$6,1,0)</x:f>
        <x:v>0</x:v>
      </x:c>
      <x:c r="I2029" s="26" t="n">
        <x:f>H2029*IF(F2029=0,E2029*$B$7,-E2029*$B$8)</x:f>
        <x:v>0</x:v>
      </x:c>
    </x:row>
    <x:row r="2030">
      <x:c r="A2030" t="n">
        <x:v>9550</x:v>
      </x:c>
      <x:c r="B2030" t="str">
        <x:v>2024-11</x:v>
      </x:c>
      <x:c r="C2030" t="str">
        <x:v>Self employed</x:v>
      </x:c>
      <x:c r="D2030" t="str">
        <x:v>Group A</x:v>
      </x:c>
      <x:c r="E2030" s="26" t="n">
        <x:v>7572.41</x:v>
      </x:c>
      <x:c r="F2030" t="n">
        <x:v>0</x:v>
      </x:c>
      <x:c r="G2030" s="25" t="n">
        <x:v>0.29662</x:v>
      </x:c>
      <x:c r="H2030" t="n">
        <x:f>IF(G2030&lt;$B$6,1,0)</x:f>
        <x:v>0</x:v>
      </x:c>
      <x:c r="I2030" s="26" t="n">
        <x:f>H2030*IF(F2030=0,E2030*$B$7,-E2030*$B$8)</x:f>
        <x:v>0</x:v>
      </x:c>
    </x:row>
    <x:row r="2031">
      <x:c r="A2031" t="n">
        <x:v>9558</x:v>
      </x:c>
      <x:c r="B2031" t="str">
        <x:v>2024-11</x:v>
      </x:c>
      <x:c r="C2031" t="str">
        <x:v>Salaried</x:v>
      </x:c>
      <x:c r="D2031" t="str">
        <x:v>Group A</x:v>
      </x:c>
      <x:c r="E2031" s="26" t="n">
        <x:v>14475.97</x:v>
      </x:c>
      <x:c r="F2031" t="n">
        <x:v>0</x:v>
      </x:c>
      <x:c r="G2031" s="25" t="n">
        <x:v>0.047758</x:v>
      </x:c>
      <x:c r="H2031" t="n">
        <x:f>IF(G2031&lt;$B$6,1,0)</x:f>
        <x:v>1</x:v>
      </x:c>
      <x:c r="I2031" s="26" t="n">
        <x:f>H2031*IF(F2031=0,E2031*$B$7,-E2031*$B$8)</x:f>
        <x:v>1737.1163999999999</x:v>
      </x:c>
    </x:row>
    <x:row r="2032">
      <x:c r="A2032" t="n">
        <x:v>9563</x:v>
      </x:c>
      <x:c r="B2032" t="str">
        <x:v>2024-11</x:v>
      </x:c>
      <x:c r="C2032" t="str">
        <x:v>Self employed</x:v>
      </x:c>
      <x:c r="D2032" t="str">
        <x:v>Group B</x:v>
      </x:c>
      <x:c r="E2032" s="26" t="n">
        <x:v>75000</x:v>
      </x:c>
      <x:c r="F2032" t="n">
        <x:v>1</x:v>
      </x:c>
      <x:c r="G2032" s="25" t="n">
        <x:v>0.61304</x:v>
      </x:c>
      <x:c r="H2032" t="n">
        <x:f>IF(G2032&lt;$B$6,1,0)</x:f>
        <x:v>0</x:v>
      </x:c>
      <x:c r="I2032" s="26" t="n">
        <x:f>H2032*IF(F2032=0,E2032*$B$7,-E2032*$B$8)</x:f>
        <x:v>0</x:v>
      </x:c>
    </x:row>
    <x:row r="2033">
      <x:c r="A2033" t="n">
        <x:v>9578</x:v>
      </x:c>
      <x:c r="B2033" t="str">
        <x:v>2024-11</x:v>
      </x:c>
      <x:c r="C2033" t="str">
        <x:v>Salaried</x:v>
      </x:c>
      <x:c r="D2033" t="str">
        <x:v>Group B</x:v>
      </x:c>
      <x:c r="E2033" s="26" t="n">
        <x:v>13056.12</x:v>
      </x:c>
      <x:c r="F2033" t="n">
        <x:v>0</x:v>
      </x:c>
      <x:c r="G2033" s="25" t="n">
        <x:v>0.063312</x:v>
      </x:c>
      <x:c r="H2033" t="n">
        <x:f>IF(G2033&lt;$B$6,1,0)</x:f>
        <x:v>1</x:v>
      </x:c>
      <x:c r="I2033" s="26" t="n">
        <x:f>H2033*IF(F2033=0,E2033*$B$7,-E2033*$B$8)</x:f>
        <x:v>1566.7344</x:v>
      </x:c>
    </x:row>
    <x:row r="2034">
      <x:c r="A2034" t="n">
        <x:v>9584</x:v>
      </x:c>
      <x:c r="B2034" t="str">
        <x:v>2024-11</x:v>
      </x:c>
      <x:c r="C2034" t="str">
        <x:v>Salaried</x:v>
      </x:c>
      <x:c r="D2034" t="str">
        <x:v>Group A</x:v>
      </x:c>
      <x:c r="E2034" s="26" t="n">
        <x:v>25078.17</x:v>
      </x:c>
      <x:c r="F2034" t="n">
        <x:v>1</x:v>
      </x:c>
      <x:c r="G2034" s="25" t="n">
        <x:v>0.238433</x:v>
      </x:c>
      <x:c r="H2034" t="n">
        <x:f>IF(G2034&lt;$B$6,1,0)</x:f>
        <x:v>0</x:v>
      </x:c>
      <x:c r="I2034" s="26" t="n">
        <x:f>H2034*IF(F2034=0,E2034*$B$7,-E2034*$B$8)</x:f>
        <x:v>0</x:v>
      </x:c>
    </x:row>
    <x:row r="2035">
      <x:c r="A2035" t="n">
        <x:v>9594</x:v>
      </x:c>
      <x:c r="B2035" t="str">
        <x:v>2024-11</x:v>
      </x:c>
      <x:c r="C2035" t="str">
        <x:v>Salaried</x:v>
      </x:c>
      <x:c r="D2035" t="str">
        <x:v>Group B</x:v>
      </x:c>
      <x:c r="E2035" s="26" t="n">
        <x:v>33754.32</x:v>
      </x:c>
      <x:c r="F2035" t="n">
        <x:v>0</x:v>
      </x:c>
      <x:c r="G2035" s="25" t="n">
        <x:v>0.373183</x:v>
      </x:c>
      <x:c r="H2035" t="n">
        <x:f>IF(G2035&lt;$B$6,1,0)</x:f>
        <x:v>0</x:v>
      </x:c>
      <x:c r="I2035" s="26" t="n">
        <x:f>H2035*IF(F2035=0,E2035*$B$7,-E2035*$B$8)</x:f>
        <x:v>0</x:v>
      </x:c>
    </x:row>
    <x:row r="2036">
      <x:c r="A2036" t="n">
        <x:v>9658</x:v>
      </x:c>
      <x:c r="B2036" t="str">
        <x:v>2024-11</x:v>
      </x:c>
      <x:c r="C2036" t="str">
        <x:v>Salaried</x:v>
      </x:c>
      <x:c r="D2036" t="str">
        <x:v>Group A</x:v>
      </x:c>
      <x:c r="E2036" s="26" t="n">
        <x:v>3018.68</x:v>
      </x:c>
      <x:c r="F2036" t="n">
        <x:v>0</x:v>
      </x:c>
      <x:c r="G2036" s="25" t="n">
        <x:v>0.161295</x:v>
      </x:c>
      <x:c r="H2036" t="n">
        <x:f>IF(G2036&lt;$B$6,1,0)</x:f>
        <x:v>0</x:v>
      </x:c>
      <x:c r="I2036" s="26" t="n">
        <x:f>H2036*IF(F2036=0,E2036*$B$7,-E2036*$B$8)</x:f>
        <x:v>0</x:v>
      </x:c>
    </x:row>
    <x:row r="2037">
      <x:c r="A2037" t="n">
        <x:v>9671</x:v>
      </x:c>
      <x:c r="B2037" t="str">
        <x:v>2024-11</x:v>
      </x:c>
      <x:c r="C2037" t="str">
        <x:v>Self employed</x:v>
      </x:c>
      <x:c r="D2037" t="str">
        <x:v>Group B</x:v>
      </x:c>
      <x:c r="E2037" s="26" t="n">
        <x:v>37752.12</x:v>
      </x:c>
      <x:c r="F2037" t="n">
        <x:v>0</x:v>
      </x:c>
      <x:c r="G2037" s="25" t="n">
        <x:v>0.098542</x:v>
      </x:c>
      <x:c r="H2037" t="n">
        <x:f>IF(G2037&lt;$B$6,1,0)</x:f>
        <x:v>1</x:v>
      </x:c>
      <x:c r="I2037" s="26" t="n">
        <x:f>H2037*IF(F2037=0,E2037*$B$7,-E2037*$B$8)</x:f>
        <x:v>4530.2544</x:v>
      </x:c>
    </x:row>
    <x:row r="2038">
      <x:c r="A2038" t="n">
        <x:v>9697</x:v>
      </x:c>
      <x:c r="B2038" t="str">
        <x:v>2024-11</x:v>
      </x:c>
      <x:c r="C2038" t="str">
        <x:v>Salaried</x:v>
      </x:c>
      <x:c r="D2038" t="str">
        <x:v>Group B</x:v>
      </x:c>
      <x:c r="E2038" s="26" t="n">
        <x:v>16685.8</x:v>
      </x:c>
      <x:c r="F2038" t="n">
        <x:v>0</x:v>
      </x:c>
      <x:c r="G2038" s="25" t="n">
        <x:v>0.238474</x:v>
      </x:c>
      <x:c r="H2038" t="n">
        <x:f>IF(G2038&lt;$B$6,1,0)</x:f>
        <x:v>0</x:v>
      </x:c>
      <x:c r="I2038" s="26" t="n">
        <x:f>H2038*IF(F2038=0,E2038*$B$7,-E2038*$B$8)</x:f>
        <x:v>0</x:v>
      </x:c>
    </x:row>
    <x:row r="2039">
      <x:c r="A2039" t="n">
        <x:v>9711</x:v>
      </x:c>
      <x:c r="B2039" t="str">
        <x:v>2024-11</x:v>
      </x:c>
      <x:c r="C2039" t="str">
        <x:v>Salaried</x:v>
      </x:c>
      <x:c r="D2039" t="str">
        <x:v>Group B</x:v>
      </x:c>
      <x:c r="E2039" s="26" t="n">
        <x:v>24942.53</x:v>
      </x:c>
      <x:c r="F2039" t="n">
        <x:v>0</x:v>
      </x:c>
      <x:c r="G2039" s="25" t="n">
        <x:v>0.293576</x:v>
      </x:c>
      <x:c r="H2039" t="n">
        <x:f>IF(G2039&lt;$B$6,1,0)</x:f>
        <x:v>0</x:v>
      </x:c>
      <x:c r="I2039" s="26" t="n">
        <x:f>H2039*IF(F2039=0,E2039*$B$7,-E2039*$B$8)</x:f>
        <x:v>0</x:v>
      </x:c>
    </x:row>
    <x:row r="2040">
      <x:c r="A2040" t="n">
        <x:v>9727</x:v>
      </x:c>
      <x:c r="B2040" t="str">
        <x:v>2024-11</x:v>
      </x:c>
      <x:c r="C2040" t="str">
        <x:v>Self employed</x:v>
      </x:c>
      <x:c r="D2040" t="str">
        <x:v>Group B</x:v>
      </x:c>
      <x:c r="E2040" s="26" t="n">
        <x:v>13971.45</x:v>
      </x:c>
      <x:c r="F2040" t="n">
        <x:v>0</x:v>
      </x:c>
      <x:c r="G2040" s="25" t="n">
        <x:v>0.11732</x:v>
      </x:c>
      <x:c r="H2040" t="n">
        <x:f>IF(G2040&lt;$B$6,1,0)</x:f>
        <x:v>1</x:v>
      </x:c>
      <x:c r="I2040" s="26" t="n">
        <x:f>H2040*IF(F2040=0,E2040*$B$7,-E2040*$B$8)</x:f>
        <x:v>1676.574</x:v>
      </x:c>
    </x:row>
    <x:row r="2041">
      <x:c r="A2041" t="n">
        <x:v>9730</x:v>
      </x:c>
      <x:c r="B2041" t="str">
        <x:v>2024-11</x:v>
      </x:c>
      <x:c r="C2041" t="str">
        <x:v>Salaried</x:v>
      </x:c>
      <x:c r="D2041" t="str">
        <x:v>Group B</x:v>
      </x:c>
      <x:c r="E2041" s="26" t="n">
        <x:v>6653.72</x:v>
      </x:c>
      <x:c r="F2041" t="n">
        <x:v>1</x:v>
      </x:c>
      <x:c r="G2041" s="25" t="n">
        <x:v>0.416827</x:v>
      </x:c>
      <x:c r="H2041" t="n">
        <x:f>IF(G2041&lt;$B$6,1,0)</x:f>
        <x:v>0</x:v>
      </x:c>
      <x:c r="I2041" s="26" t="n">
        <x:f>H2041*IF(F2041=0,E2041*$B$7,-E2041*$B$8)</x:f>
        <x:v>0</x:v>
      </x:c>
    </x:row>
    <x:row r="2042">
      <x:c r="A2042" t="n">
        <x:v>9750</x:v>
      </x:c>
      <x:c r="B2042" t="str">
        <x:v>2024-11</x:v>
      </x:c>
      <x:c r="C2042" t="str">
        <x:v>Salaried</x:v>
      </x:c>
      <x:c r="D2042" t="str">
        <x:v>Group B</x:v>
      </x:c>
      <x:c r="E2042" s="26" t="n">
        <x:v>23782.82</x:v>
      </x:c>
      <x:c r="F2042" t="n">
        <x:v>0</x:v>
      </x:c>
      <x:c r="G2042" s="25" t="n">
        <x:v>0.258976</x:v>
      </x:c>
      <x:c r="H2042" t="n">
        <x:f>IF(G2042&lt;$B$6,1,0)</x:f>
        <x:v>0</x:v>
      </x:c>
      <x:c r="I2042" s="26" t="n">
        <x:f>H2042*IF(F2042=0,E2042*$B$7,-E2042*$B$8)</x:f>
        <x:v>0</x:v>
      </x:c>
    </x:row>
    <x:row r="2043">
      <x:c r="A2043" t="n">
        <x:v>9763</x:v>
      </x:c>
      <x:c r="B2043" t="str">
        <x:v>2024-11</x:v>
      </x:c>
      <x:c r="C2043" t="str">
        <x:v>Salaried</x:v>
      </x:c>
      <x:c r="D2043" t="str">
        <x:v>Group A</x:v>
      </x:c>
      <x:c r="E2043" s="26" t="n">
        <x:v>11711.84</x:v>
      </x:c>
      <x:c r="F2043" t="n">
        <x:v>1</x:v>
      </x:c>
      <x:c r="G2043" s="25" t="n">
        <x:v>0.253047</x:v>
      </x:c>
      <x:c r="H2043" t="n">
        <x:f>IF(G2043&lt;$B$6,1,0)</x:f>
        <x:v>0</x:v>
      </x:c>
      <x:c r="I2043" s="26" t="n">
        <x:f>H2043*IF(F2043=0,E2043*$B$7,-E2043*$B$8)</x:f>
        <x:v>0</x:v>
      </x:c>
    </x:row>
    <x:row r="2044">
      <x:c r="A2044" t="n">
        <x:v>9861</x:v>
      </x:c>
      <x:c r="B2044" t="str">
        <x:v>2024-11</x:v>
      </x:c>
      <x:c r="C2044" t="str">
        <x:v>Salaried</x:v>
      </x:c>
      <x:c r="D2044" t="str">
        <x:v>Group B</x:v>
      </x:c>
      <x:c r="E2044" s="26" t="n">
        <x:v>30620.82</x:v>
      </x:c>
      <x:c r="F2044" t="n">
        <x:v>1</x:v>
      </x:c>
      <x:c r="G2044" s="25" t="n">
        <x:v>0.408183</x:v>
      </x:c>
      <x:c r="H2044" t="n">
        <x:f>IF(G2044&lt;$B$6,1,0)</x:f>
        <x:v>0</x:v>
      </x:c>
      <x:c r="I2044" s="26" t="n">
        <x:f>H2044*IF(F2044=0,E2044*$B$7,-E2044*$B$8)</x:f>
        <x:v>0</x:v>
      </x:c>
    </x:row>
    <x:row r="2045">
      <x:c r="A2045" t="n">
        <x:v>9874</x:v>
      </x:c>
      <x:c r="B2045" t="str">
        <x:v>2024-11</x:v>
      </x:c>
      <x:c r="C2045" t="str">
        <x:v>Salaried</x:v>
      </x:c>
      <x:c r="D2045" t="str">
        <x:v>Group B</x:v>
      </x:c>
      <x:c r="E2045" s="26" t="n">
        <x:v>8558.35</x:v>
      </x:c>
      <x:c r="F2045" t="n">
        <x:v>0</x:v>
      </x:c>
      <x:c r="G2045" s="25" t="n">
        <x:v>0.049268</x:v>
      </x:c>
      <x:c r="H2045" t="n">
        <x:f>IF(G2045&lt;$B$6,1,0)</x:f>
        <x:v>1</x:v>
      </x:c>
      <x:c r="I2045" s="26" t="n">
        <x:f>H2045*IF(F2045=0,E2045*$B$7,-E2045*$B$8)</x:f>
        <x:v>1027.002</x:v>
      </x:c>
    </x:row>
    <x:row r="2046">
      <x:c r="A2046" t="n">
        <x:v>9880</x:v>
      </x:c>
      <x:c r="B2046" t="str">
        <x:v>2024-11</x:v>
      </x:c>
      <x:c r="C2046" t="str">
        <x:v>Salaried</x:v>
      </x:c>
      <x:c r="D2046" t="str">
        <x:v>Group A</x:v>
      </x:c>
      <x:c r="E2046" s="26" t="n">
        <x:v>9019.27</x:v>
      </x:c>
      <x:c r="F2046" t="n">
        <x:v>0</x:v>
      </x:c>
      <x:c r="G2046" s="25" t="n">
        <x:v>0.484839</x:v>
      </x:c>
      <x:c r="H2046" t="n">
        <x:f>IF(G2046&lt;$B$6,1,0)</x:f>
        <x:v>0</x:v>
      </x:c>
      <x:c r="I2046" s="26" t="n">
        <x:f>H2046*IF(F2046=0,E2046*$B$7,-E2046*$B$8)</x:f>
        <x:v>0</x:v>
      </x:c>
    </x:row>
    <x:row r="2047">
      <x:c r="A2047" t="n">
        <x:v>7</x:v>
      </x:c>
      <x:c r="B2047" t="str">
        <x:v>2024-12</x:v>
      </x:c>
      <x:c r="C2047" t="str">
        <x:v>Self employed</x:v>
      </x:c>
      <x:c r="D2047" t="str">
        <x:v>Group B</x:v>
      </x:c>
      <x:c r="E2047" s="26" t="n">
        <x:v>59354.59</x:v>
      </x:c>
      <x:c r="F2047" t="n">
        <x:v>0</x:v>
      </x:c>
      <x:c r="G2047" s="25" t="n">
        <x:v>0.086521</x:v>
      </x:c>
      <x:c r="H2047" t="n">
        <x:f>IF(G2047&lt;$B$6,1,0)</x:f>
        <x:v>1</x:v>
      </x:c>
      <x:c r="I2047" s="26" t="n">
        <x:f>H2047*IF(F2047=0,E2047*$B$7,-E2047*$B$8)</x:f>
        <x:v>7122.550799999999</x:v>
      </x:c>
    </x:row>
    <x:row r="2048">
      <x:c r="A2048" t="n">
        <x:v>8</x:v>
      </x:c>
      <x:c r="B2048" t="str">
        <x:v>2024-12</x:v>
      </x:c>
      <x:c r="C2048" t="str">
        <x:v>Salaried</x:v>
      </x:c>
      <x:c r="D2048" t="str">
        <x:v>Group B</x:v>
      </x:c>
      <x:c r="E2048" s="26" t="n">
        <x:v>9547.23</x:v>
      </x:c>
      <x:c r="F2048" t="n">
        <x:v>0</x:v>
      </x:c>
      <x:c r="G2048" s="25" t="n">
        <x:v>0.070683</x:v>
      </x:c>
      <x:c r="H2048" t="n">
        <x:f>IF(G2048&lt;$B$6,1,0)</x:f>
        <x:v>1</x:v>
      </x:c>
      <x:c r="I2048" s="26" t="n">
        <x:f>H2048*IF(F2048=0,E2048*$B$7,-E2048*$B$8)</x:f>
        <x:v>1145.6676</x:v>
      </x:c>
    </x:row>
    <x:row r="2049">
      <x:c r="A2049" t="n">
        <x:v>72</x:v>
      </x:c>
      <x:c r="B2049" t="str">
        <x:v>2024-12</x:v>
      </x:c>
      <x:c r="C2049" t="str">
        <x:v>Self employed</x:v>
      </x:c>
      <x:c r="D2049" t="str">
        <x:v>Group A</x:v>
      </x:c>
      <x:c r="E2049" s="26" t="n">
        <x:v>4360.12</x:v>
      </x:c>
      <x:c r="F2049" t="n">
        <x:v>0</x:v>
      </x:c>
      <x:c r="G2049" s="25" t="n">
        <x:v>0.103011</x:v>
      </x:c>
      <x:c r="H2049" t="n">
        <x:f>IF(G2049&lt;$B$6,1,0)</x:f>
        <x:v>1</x:v>
      </x:c>
      <x:c r="I2049" s="26" t="n">
        <x:f>H2049*IF(F2049=0,E2049*$B$7,-E2049*$B$8)</x:f>
        <x:v>523.2144</x:v>
      </x:c>
    </x:row>
    <x:row r="2050">
      <x:c r="A2050" t="n">
        <x:v>104</x:v>
      </x:c>
      <x:c r="B2050" t="str">
        <x:v>2024-12</x:v>
      </x:c>
      <x:c r="C2050" t="str">
        <x:v>Salaried</x:v>
      </x:c>
      <x:c r="D2050" t="str">
        <x:v>Group A</x:v>
      </x:c>
      <x:c r="E2050" s="26" t="n">
        <x:v>10078.5</x:v>
      </x:c>
      <x:c r="F2050" t="n">
        <x:v>0</x:v>
      </x:c>
      <x:c r="G2050" s="25" t="n">
        <x:v>0.312751</x:v>
      </x:c>
      <x:c r="H2050" t="n">
        <x:f>IF(G2050&lt;$B$6,1,0)</x:f>
        <x:v>0</x:v>
      </x:c>
      <x:c r="I2050" s="26" t="n">
        <x:f>H2050*IF(F2050=0,E2050*$B$7,-E2050*$B$8)</x:f>
        <x:v>0</x:v>
      </x:c>
    </x:row>
    <x:row r="2051">
      <x:c r="A2051" t="n">
        <x:v>143</x:v>
      </x:c>
      <x:c r="B2051" t="str">
        <x:v>2024-12</x:v>
      </x:c>
      <x:c r="C2051" t="str">
        <x:v>Salaried</x:v>
      </x:c>
      <x:c r="D2051" t="str">
        <x:v>Group B</x:v>
      </x:c>
      <x:c r="E2051" s="26" t="n">
        <x:v>7154.53</x:v>
      </x:c>
      <x:c r="F2051" t="n">
        <x:v>0</x:v>
      </x:c>
      <x:c r="G2051" s="25" t="n">
        <x:v>0.239543</x:v>
      </x:c>
      <x:c r="H2051" t="n">
        <x:f>IF(G2051&lt;$B$6,1,0)</x:f>
        <x:v>0</x:v>
      </x:c>
      <x:c r="I2051" s="26" t="n">
        <x:f>H2051*IF(F2051=0,E2051*$B$7,-E2051*$B$8)</x:f>
        <x:v>0</x:v>
      </x:c>
    </x:row>
    <x:row r="2052">
      <x:c r="A2052" t="n">
        <x:v>157</x:v>
      </x:c>
      <x:c r="B2052" t="str">
        <x:v>2024-12</x:v>
      </x:c>
      <x:c r="C2052" t="str">
        <x:v>Self employed</x:v>
      </x:c>
      <x:c r="D2052" t="str">
        <x:v>Group A</x:v>
      </x:c>
      <x:c r="E2052" s="26" t="n">
        <x:v>5122.07</x:v>
      </x:c>
      <x:c r="F2052" t="n">
        <x:v>0</x:v>
      </x:c>
      <x:c r="G2052" s="25" t="n">
        <x:v>0.119454</x:v>
      </x:c>
      <x:c r="H2052" t="n">
        <x:f>IF(G2052&lt;$B$6,1,0)</x:f>
        <x:v>1</x:v>
      </x:c>
      <x:c r="I2052" s="26" t="n">
        <x:f>H2052*IF(F2052=0,E2052*$B$7,-E2052*$B$8)</x:f>
        <x:v>614.6483999999999</x:v>
      </x:c>
    </x:row>
    <x:row r="2053">
      <x:c r="A2053" t="n">
        <x:v>162</x:v>
      </x:c>
      <x:c r="B2053" t="str">
        <x:v>2024-12</x:v>
      </x:c>
      <x:c r="C2053" t="str">
        <x:v>Salaried</x:v>
      </x:c>
      <x:c r="D2053" t="str">
        <x:v>Group A</x:v>
      </x:c>
      <x:c r="E2053" s="26" t="n">
        <x:v>64005.38</x:v>
      </x:c>
      <x:c r="F2053" t="n">
        <x:v>1</x:v>
      </x:c>
      <x:c r="G2053" s="25" t="n">
        <x:v>0.320333</x:v>
      </x:c>
      <x:c r="H2053" t="n">
        <x:f>IF(G2053&lt;$B$6,1,0)</x:f>
        <x:v>0</x:v>
      </x:c>
      <x:c r="I2053" s="26" t="n">
        <x:f>H2053*IF(F2053=0,E2053*$B$7,-E2053*$B$8)</x:f>
        <x:v>0</x:v>
      </x:c>
    </x:row>
    <x:row r="2054">
      <x:c r="A2054" t="n">
        <x:v>163</x:v>
      </x:c>
      <x:c r="B2054" t="str">
        <x:v>2024-12</x:v>
      </x:c>
      <x:c r="C2054" t="str">
        <x:v>Salaried</x:v>
      </x:c>
      <x:c r="D2054" t="str">
        <x:v>Group A</x:v>
      </x:c>
      <x:c r="E2054" s="26" t="n">
        <x:v>11591.45</x:v>
      </x:c>
      <x:c r="F2054" t="n">
        <x:v>0</x:v>
      </x:c>
      <x:c r="G2054" s="25" t="n">
        <x:v>0.344715</x:v>
      </x:c>
      <x:c r="H2054" t="n">
        <x:f>IF(G2054&lt;$B$6,1,0)</x:f>
        <x:v>0</x:v>
      </x:c>
      <x:c r="I2054" s="26" t="n">
        <x:f>H2054*IF(F2054=0,E2054*$B$7,-E2054*$B$8)</x:f>
        <x:v>0</x:v>
      </x:c>
    </x:row>
    <x:row r="2055">
      <x:c r="A2055" t="n">
        <x:v>194</x:v>
      </x:c>
      <x:c r="B2055" t="str">
        <x:v>2024-12</x:v>
      </x:c>
      <x:c r="C2055" t="str">
        <x:v>Salaried</x:v>
      </x:c>
      <x:c r="D2055" t="str">
        <x:v>Group A</x:v>
      </x:c>
      <x:c r="E2055" s="26" t="n">
        <x:v>26835.53</x:v>
      </x:c>
      <x:c r="F2055" t="n">
        <x:v>0</x:v>
      </x:c>
      <x:c r="G2055" s="25" t="n">
        <x:v>0.072914</x:v>
      </x:c>
      <x:c r="H2055" t="n">
        <x:f>IF(G2055&lt;$B$6,1,0)</x:f>
        <x:v>1</x:v>
      </x:c>
      <x:c r="I2055" s="26" t="n">
        <x:f>H2055*IF(F2055=0,E2055*$B$7,-E2055*$B$8)</x:f>
        <x:v>3220.2635999999998</x:v>
      </x:c>
    </x:row>
    <x:row r="2056">
      <x:c r="A2056" t="n">
        <x:v>205</x:v>
      </x:c>
      <x:c r="B2056" t="str">
        <x:v>2024-12</x:v>
      </x:c>
      <x:c r="C2056" t="str">
        <x:v>Contract</x:v>
      </x:c>
      <x:c r="D2056" t="str">
        <x:v>Group A</x:v>
      </x:c>
      <x:c r="E2056" s="26" t="n">
        <x:v>13313.47</x:v>
      </x:c>
      <x:c r="F2056" t="n">
        <x:v>0</x:v>
      </x:c>
      <x:c r="G2056" s="25" t="n">
        <x:v>0.482515</x:v>
      </x:c>
      <x:c r="H2056" t="n">
        <x:f>IF(G2056&lt;$B$6,1,0)</x:f>
        <x:v>0</x:v>
      </x:c>
      <x:c r="I2056" s="26" t="n">
        <x:f>H2056*IF(F2056=0,E2056*$B$7,-E2056*$B$8)</x:f>
        <x:v>0</x:v>
      </x:c>
    </x:row>
    <x:row r="2057">
      <x:c r="A2057" t="n">
        <x:v>237</x:v>
      </x:c>
      <x:c r="B2057" t="str">
        <x:v>2024-12</x:v>
      </x:c>
      <x:c r="C2057" t="str">
        <x:v>Salaried</x:v>
      </x:c>
      <x:c r="D2057" t="str">
        <x:v>Group A</x:v>
      </x:c>
      <x:c r="E2057" s="26" t="n">
        <x:v>6568.67</x:v>
      </x:c>
      <x:c r="F2057" t="n">
        <x:v>1</x:v>
      </x:c>
      <x:c r="G2057" s="25" t="n">
        <x:v>0.390633</x:v>
      </x:c>
      <x:c r="H2057" t="n">
        <x:f>IF(G2057&lt;$B$6,1,0)</x:f>
        <x:v>0</x:v>
      </x:c>
      <x:c r="I2057" s="26" t="n">
        <x:f>H2057*IF(F2057=0,E2057*$B$7,-E2057*$B$8)</x:f>
        <x:v>0</x:v>
      </x:c>
    </x:row>
    <x:row r="2058">
      <x:c r="A2058" t="n">
        <x:v>262</x:v>
      </x:c>
      <x:c r="B2058" t="str">
        <x:v>2024-12</x:v>
      </x:c>
      <x:c r="C2058" t="str">
        <x:v>Salaried</x:v>
      </x:c>
      <x:c r="D2058" t="str">
        <x:v>Group A</x:v>
      </x:c>
      <x:c r="E2058" s="26" t="n">
        <x:v>9048.69</x:v>
      </x:c>
      <x:c r="F2058" t="n">
        <x:v>0</x:v>
      </x:c>
      <x:c r="G2058" s="25" t="n">
        <x:v>0.149746</x:v>
      </x:c>
      <x:c r="H2058" t="n">
        <x:f>IF(G2058&lt;$B$6,1,0)</x:f>
        <x:v>1</x:v>
      </x:c>
      <x:c r="I2058" s="26" t="n">
        <x:f>H2058*IF(F2058=0,E2058*$B$7,-E2058*$B$8)</x:f>
        <x:v>1085.8428000000001</x:v>
      </x:c>
    </x:row>
    <x:row r="2059">
      <x:c r="A2059" t="n">
        <x:v>286</x:v>
      </x:c>
      <x:c r="B2059" t="str">
        <x:v>2024-12</x:v>
      </x:c>
      <x:c r="C2059" t="str">
        <x:v>Self employed</x:v>
      </x:c>
      <x:c r="D2059" t="str">
        <x:v>Group A</x:v>
      </x:c>
      <x:c r="E2059" s="26" t="n">
        <x:v>25998.02</x:v>
      </x:c>
      <x:c r="F2059" t="n">
        <x:v>0</x:v>
      </x:c>
      <x:c r="G2059" s="25" t="n">
        <x:v>0.064452</x:v>
      </x:c>
      <x:c r="H2059" t="n">
        <x:f>IF(G2059&lt;$B$6,1,0)</x:f>
        <x:v>1</x:v>
      </x:c>
      <x:c r="I2059" s="26" t="n">
        <x:f>H2059*IF(F2059=0,E2059*$B$7,-E2059*$B$8)</x:f>
        <x:v>3119.7624</x:v>
      </x:c>
    </x:row>
    <x:row r="2060">
      <x:c r="A2060" t="n">
        <x:v>294</x:v>
      </x:c>
      <x:c r="B2060" t="str">
        <x:v>2024-12</x:v>
      </x:c>
      <x:c r="C2060" t="str">
        <x:v>Salaried</x:v>
      </x:c>
      <x:c r="D2060" t="str">
        <x:v>Group A</x:v>
      </x:c>
      <x:c r="E2060" s="26" t="n">
        <x:v>21869.91</x:v>
      </x:c>
      <x:c r="F2060" t="n">
        <x:v>0</x:v>
      </x:c>
      <x:c r="G2060" s="25" t="n">
        <x:v>0.245905</x:v>
      </x:c>
      <x:c r="H2060" t="n">
        <x:f>IF(G2060&lt;$B$6,1,0)</x:f>
        <x:v>0</x:v>
      </x:c>
      <x:c r="I2060" s="26" t="n">
        <x:f>H2060*IF(F2060=0,E2060*$B$7,-E2060*$B$8)</x:f>
        <x:v>0</x:v>
      </x:c>
    </x:row>
    <x:row r="2061">
      <x:c r="A2061" t="n">
        <x:v>297</x:v>
      </x:c>
      <x:c r="B2061" t="str">
        <x:v>2024-12</x:v>
      </x:c>
      <x:c r="C2061" t="str">
        <x:v>Salaried</x:v>
      </x:c>
      <x:c r="D2061" t="str">
        <x:v>Group A</x:v>
      </x:c>
      <x:c r="E2061" s="26" t="n">
        <x:v>6322.5</x:v>
      </x:c>
      <x:c r="F2061" t="n">
        <x:v>0</x:v>
      </x:c>
      <x:c r="G2061" s="25" t="n">
        <x:v>0.109837</x:v>
      </x:c>
      <x:c r="H2061" t="n">
        <x:f>IF(G2061&lt;$B$6,1,0)</x:f>
        <x:v>1</x:v>
      </x:c>
      <x:c r="I2061" s="26" t="n">
        <x:f>H2061*IF(F2061=0,E2061*$B$7,-E2061*$B$8)</x:f>
        <x:v>758.6999999999999</x:v>
      </x:c>
    </x:row>
    <x:row r="2062">
      <x:c r="A2062" t="n">
        <x:v>303</x:v>
      </x:c>
      <x:c r="B2062" t="str">
        <x:v>2024-12</x:v>
      </x:c>
      <x:c r="C2062" t="str">
        <x:v>Salaried</x:v>
      </x:c>
      <x:c r="D2062" t="str">
        <x:v>Group A</x:v>
      </x:c>
      <x:c r="E2062" s="26" t="n">
        <x:v>13773.14</x:v>
      </x:c>
      <x:c r="F2062" t="n">
        <x:v>1</x:v>
      </x:c>
      <x:c r="G2062" s="25" t="n">
        <x:v>0.514108</x:v>
      </x:c>
      <x:c r="H2062" t="n">
        <x:f>IF(G2062&lt;$B$6,1,0)</x:f>
        <x:v>0</x:v>
      </x:c>
      <x:c r="I2062" s="26" t="n">
        <x:f>H2062*IF(F2062=0,E2062*$B$7,-E2062*$B$8)</x:f>
        <x:v>0</x:v>
      </x:c>
    </x:row>
    <x:row r="2063">
      <x:c r="A2063" t="n">
        <x:v>331</x:v>
      </x:c>
      <x:c r="B2063" t="str">
        <x:v>2024-12</x:v>
      </x:c>
      <x:c r="C2063" t="str">
        <x:v>Salaried</x:v>
      </x:c>
      <x:c r="D2063" t="str">
        <x:v>Group B</x:v>
      </x:c>
      <x:c r="E2063" s="26" t="n">
        <x:v>20995.39</x:v>
      </x:c>
      <x:c r="F2063" t="n">
        <x:v>1</x:v>
      </x:c>
      <x:c r="G2063" s="25" t="n">
        <x:v>0.298544</x:v>
      </x:c>
      <x:c r="H2063" t="n">
        <x:f>IF(G2063&lt;$B$6,1,0)</x:f>
        <x:v>0</x:v>
      </x:c>
      <x:c r="I2063" s="26" t="n">
        <x:f>H2063*IF(F2063=0,E2063*$B$7,-E2063*$B$8)</x:f>
        <x:v>0</x:v>
      </x:c>
    </x:row>
    <x:row r="2064">
      <x:c r="A2064" t="n">
        <x:v>344</x:v>
      </x:c>
      <x:c r="B2064" t="str">
        <x:v>2024-12</x:v>
      </x:c>
      <x:c r="C2064" t="str">
        <x:v>Salaried</x:v>
      </x:c>
      <x:c r="D2064" t="str">
        <x:v>Group B</x:v>
      </x:c>
      <x:c r="E2064" s="26" t="n">
        <x:v>12198.98</x:v>
      </x:c>
      <x:c r="F2064" t="n">
        <x:v>0</x:v>
      </x:c>
      <x:c r="G2064" s="25" t="n">
        <x:v>0.248776</x:v>
      </x:c>
      <x:c r="H2064" t="n">
        <x:f>IF(G2064&lt;$B$6,1,0)</x:f>
        <x:v>0</x:v>
      </x:c>
      <x:c r="I2064" s="26" t="n">
        <x:f>H2064*IF(F2064=0,E2064*$B$7,-E2064*$B$8)</x:f>
        <x:v>0</x:v>
      </x:c>
    </x:row>
    <x:row r="2065">
      <x:c r="A2065" t="n">
        <x:v>404</x:v>
      </x:c>
      <x:c r="B2065" t="str">
        <x:v>2024-12</x:v>
      </x:c>
      <x:c r="C2065" t="str">
        <x:v>Contract</x:v>
      </x:c>
      <x:c r="D2065" t="str">
        <x:v>Group A</x:v>
      </x:c>
      <x:c r="E2065" s="26" t="n">
        <x:v>20403.16</x:v>
      </x:c>
      <x:c r="F2065" t="n">
        <x:v>0</x:v>
      </x:c>
      <x:c r="G2065" s="25" t="n">
        <x:v>0.28344</x:v>
      </x:c>
      <x:c r="H2065" t="n">
        <x:f>IF(G2065&lt;$B$6,1,0)</x:f>
        <x:v>0</x:v>
      </x:c>
      <x:c r="I2065" s="26" t="n">
        <x:f>H2065*IF(F2065=0,E2065*$B$7,-E2065*$B$8)</x:f>
        <x:v>0</x:v>
      </x:c>
    </x:row>
    <x:row r="2066">
      <x:c r="A2066" t="n">
        <x:v>413</x:v>
      </x:c>
      <x:c r="B2066" t="str">
        <x:v>2024-12</x:v>
      </x:c>
      <x:c r="C2066" t="str">
        <x:v>Salaried</x:v>
      </x:c>
      <x:c r="D2066" t="str">
        <x:v>Group A</x:v>
      </x:c>
      <x:c r="E2066" s="26" t="n">
        <x:v>21960.19</x:v>
      </x:c>
      <x:c r="F2066" t="n">
        <x:v>0</x:v>
      </x:c>
      <x:c r="G2066" s="25" t="n">
        <x:v>0.207795</x:v>
      </x:c>
      <x:c r="H2066" t="n">
        <x:f>IF(G2066&lt;$B$6,1,0)</x:f>
        <x:v>0</x:v>
      </x:c>
      <x:c r="I2066" s="26" t="n">
        <x:f>H2066*IF(F2066=0,E2066*$B$7,-E2066*$B$8)</x:f>
        <x:v>0</x:v>
      </x:c>
    </x:row>
    <x:row r="2067">
      <x:c r="A2067" t="n">
        <x:v>511</x:v>
      </x:c>
      <x:c r="B2067" t="str">
        <x:v>2024-12</x:v>
      </x:c>
      <x:c r="C2067" t="str">
        <x:v>Self employed</x:v>
      </x:c>
      <x:c r="D2067" t="str">
        <x:v>Group B</x:v>
      </x:c>
      <x:c r="E2067" s="26" t="n">
        <x:v>5610.34</x:v>
      </x:c>
      <x:c r="F2067" t="n">
        <x:v>0</x:v>
      </x:c>
      <x:c r="G2067" s="25" t="n">
        <x:v>0.149915</x:v>
      </x:c>
      <x:c r="H2067" t="n">
        <x:f>IF(G2067&lt;$B$6,1,0)</x:f>
        <x:v>1</x:v>
      </x:c>
      <x:c r="I2067" s="26" t="n">
        <x:f>H2067*IF(F2067=0,E2067*$B$7,-E2067*$B$8)</x:f>
        <x:v>673.2408</x:v>
      </x:c>
    </x:row>
    <x:row r="2068">
      <x:c r="A2068" t="n">
        <x:v>535</x:v>
      </x:c>
      <x:c r="B2068" t="str">
        <x:v>2024-12</x:v>
      </x:c>
      <x:c r="C2068" t="str">
        <x:v>Salaried</x:v>
      </x:c>
      <x:c r="D2068" t="str">
        <x:v>Group B</x:v>
      </x:c>
      <x:c r="E2068" s="26" t="n">
        <x:v>18424.7</x:v>
      </x:c>
      <x:c r="F2068" t="n">
        <x:v>1</x:v>
      </x:c>
      <x:c r="G2068" s="25" t="n">
        <x:v>0.497749</x:v>
      </x:c>
      <x:c r="H2068" t="n">
        <x:f>IF(G2068&lt;$B$6,1,0)</x:f>
        <x:v>0</x:v>
      </x:c>
      <x:c r="I2068" s="26" t="n">
        <x:f>H2068*IF(F2068=0,E2068*$B$7,-E2068*$B$8)</x:f>
        <x:v>0</x:v>
      </x:c>
    </x:row>
    <x:row r="2069">
      <x:c r="A2069" t="n">
        <x:v>556</x:v>
      </x:c>
      <x:c r="B2069" t="str">
        <x:v>2024-12</x:v>
      </x:c>
      <x:c r="C2069" t="str">
        <x:v>Salaried</x:v>
      </x:c>
      <x:c r="D2069" t="str">
        <x:v>Group B</x:v>
      </x:c>
      <x:c r="E2069" s="26" t="n">
        <x:v>7570.78</x:v>
      </x:c>
      <x:c r="F2069" t="n">
        <x:v>0</x:v>
      </x:c>
      <x:c r="G2069" s="25" t="n">
        <x:v>0.576579</x:v>
      </x:c>
      <x:c r="H2069" t="n">
        <x:f>IF(G2069&lt;$B$6,1,0)</x:f>
        <x:v>0</x:v>
      </x:c>
      <x:c r="I2069" s="26" t="n">
        <x:f>H2069*IF(F2069=0,E2069*$B$7,-E2069*$B$8)</x:f>
        <x:v>0</x:v>
      </x:c>
    </x:row>
    <x:row r="2070">
      <x:c r="A2070" t="n">
        <x:v>558</x:v>
      </x:c>
      <x:c r="B2070" t="str">
        <x:v>2024-12</x:v>
      </x:c>
      <x:c r="C2070" t="str">
        <x:v>Salaried</x:v>
      </x:c>
      <x:c r="D2070" t="str">
        <x:v>Group B</x:v>
      </x:c>
      <x:c r="E2070" s="26" t="n">
        <x:v>17501.94</x:v>
      </x:c>
      <x:c r="F2070" t="n">
        <x:v>1</x:v>
      </x:c>
      <x:c r="G2070" s="25" t="n">
        <x:v>0.412651</x:v>
      </x:c>
      <x:c r="H2070" t="n">
        <x:f>IF(G2070&lt;$B$6,1,0)</x:f>
        <x:v>0</x:v>
      </x:c>
      <x:c r="I2070" s="26" t="n">
        <x:f>H2070*IF(F2070=0,E2070*$B$7,-E2070*$B$8)</x:f>
        <x:v>0</x:v>
      </x:c>
    </x:row>
    <x:row r="2071">
      <x:c r="A2071" t="n">
        <x:v>567</x:v>
      </x:c>
      <x:c r="B2071" t="str">
        <x:v>2024-12</x:v>
      </x:c>
      <x:c r="C2071" t="str">
        <x:v>Salaried</x:v>
      </x:c>
      <x:c r="D2071" t="str">
        <x:v>Group A</x:v>
      </x:c>
      <x:c r="E2071" s="26" t="n">
        <x:v>40076.08</x:v>
      </x:c>
      <x:c r="F2071" t="n">
        <x:v>1</x:v>
      </x:c>
      <x:c r="G2071" s="25" t="n">
        <x:v>0.359411</x:v>
      </x:c>
      <x:c r="H2071" t="n">
        <x:f>IF(G2071&lt;$B$6,1,0)</x:f>
        <x:v>0</x:v>
      </x:c>
      <x:c r="I2071" s="26" t="n">
        <x:f>H2071*IF(F2071=0,E2071*$B$7,-E2071*$B$8)</x:f>
        <x:v>0</x:v>
      </x:c>
    </x:row>
    <x:row r="2072">
      <x:c r="A2072" t="n">
        <x:v>638</x:v>
      </x:c>
      <x:c r="B2072" t="str">
        <x:v>2024-12</x:v>
      </x:c>
      <x:c r="C2072" t="str">
        <x:v>Salaried</x:v>
      </x:c>
      <x:c r="D2072" t="str">
        <x:v>Group A</x:v>
      </x:c>
      <x:c r="E2072" s="26" t="n">
        <x:v>9276.54</x:v>
      </x:c>
      <x:c r="F2072" t="n">
        <x:v>0</x:v>
      </x:c>
      <x:c r="G2072" s="25" t="n">
        <x:v>0.051441</x:v>
      </x:c>
      <x:c r="H2072" t="n">
        <x:f>IF(G2072&lt;$B$6,1,0)</x:f>
        <x:v>1</x:v>
      </x:c>
      <x:c r="I2072" s="26" t="n">
        <x:f>H2072*IF(F2072=0,E2072*$B$7,-E2072*$B$8)</x:f>
        <x:v>1113.1848</x:v>
      </x:c>
    </x:row>
    <x:row r="2073">
      <x:c r="A2073" t="n">
        <x:v>642</x:v>
      </x:c>
      <x:c r="B2073" t="str">
        <x:v>2024-12</x:v>
      </x:c>
      <x:c r="C2073" t="str">
        <x:v>Salaried</x:v>
      </x:c>
      <x:c r="D2073" t="str">
        <x:v>Group A</x:v>
      </x:c>
      <x:c r="E2073" s="26" t="n">
        <x:v>13886.24</x:v>
      </x:c>
      <x:c r="F2073" t="n">
        <x:v>0</x:v>
      </x:c>
      <x:c r="G2073" s="25" t="n">
        <x:v>0.083956</x:v>
      </x:c>
      <x:c r="H2073" t="n">
        <x:f>IF(G2073&lt;$B$6,1,0)</x:f>
        <x:v>1</x:v>
      </x:c>
      <x:c r="I2073" s="26" t="n">
        <x:f>H2073*IF(F2073=0,E2073*$B$7,-E2073*$B$8)</x:f>
        <x:v>1666.3488</x:v>
      </x:c>
    </x:row>
    <x:row r="2074">
      <x:c r="A2074" t="n">
        <x:v>651</x:v>
      </x:c>
      <x:c r="B2074" t="str">
        <x:v>2024-12</x:v>
      </x:c>
      <x:c r="C2074" t="str">
        <x:v>Salaried</x:v>
      </x:c>
      <x:c r="D2074" t="str">
        <x:v>Group B</x:v>
      </x:c>
      <x:c r="E2074" s="26" t="n">
        <x:v>29732.76</x:v>
      </x:c>
      <x:c r="F2074" t="n">
        <x:v>0</x:v>
      </x:c>
      <x:c r="G2074" s="25" t="n">
        <x:v>0.178881</x:v>
      </x:c>
      <x:c r="H2074" t="n">
        <x:f>IF(G2074&lt;$B$6,1,0)</x:f>
        <x:v>0</x:v>
      </x:c>
      <x:c r="I2074" s="26" t="n">
        <x:f>H2074*IF(F2074=0,E2074*$B$7,-E2074*$B$8)</x:f>
        <x:v>0</x:v>
      </x:c>
    </x:row>
    <x:row r="2075">
      <x:c r="A2075" t="n">
        <x:v>705</x:v>
      </x:c>
      <x:c r="B2075" t="str">
        <x:v>2024-12</x:v>
      </x:c>
      <x:c r="C2075" t="str">
        <x:v>Self employed</x:v>
      </x:c>
      <x:c r="D2075" t="str">
        <x:v>Group A</x:v>
      </x:c>
      <x:c r="E2075" s="26" t="n">
        <x:v>4600.11</x:v>
      </x:c>
      <x:c r="F2075" t="n">
        <x:v>0</x:v>
      </x:c>
      <x:c r="G2075" s="25" t="n">
        <x:v>0.201517</x:v>
      </x:c>
      <x:c r="H2075" t="n">
        <x:f>IF(G2075&lt;$B$6,1,0)</x:f>
        <x:v>0</x:v>
      </x:c>
      <x:c r="I2075" s="26" t="n">
        <x:f>H2075*IF(F2075=0,E2075*$B$7,-E2075*$B$8)</x:f>
        <x:v>0</x:v>
      </x:c>
    </x:row>
    <x:row r="2076">
      <x:c r="A2076" t="n">
        <x:v>709</x:v>
      </x:c>
      <x:c r="B2076" t="str">
        <x:v>2024-12</x:v>
      </x:c>
      <x:c r="C2076" t="str">
        <x:v>Self employed</x:v>
      </x:c>
      <x:c r="D2076" t="str">
        <x:v>Group B</x:v>
      </x:c>
      <x:c r="E2076" s="26" t="n">
        <x:v>16540.84</x:v>
      </x:c>
      <x:c r="F2076" t="n">
        <x:v>1</x:v>
      </x:c>
      <x:c r="G2076" s="25" t="n">
        <x:v>0.144125</x:v>
      </x:c>
      <x:c r="H2076" t="n">
        <x:f>IF(G2076&lt;$B$6,1,0)</x:f>
        <x:v>1</x:v>
      </x:c>
      <x:c r="I2076" s="26" t="n">
        <x:f>H2076*IF(F2076=0,E2076*$B$7,-E2076*$B$8)</x:f>
        <x:v>-10751.546</x:v>
      </x:c>
    </x:row>
    <x:row r="2077">
      <x:c r="A2077" t="n">
        <x:v>731</x:v>
      </x:c>
      <x:c r="B2077" t="str">
        <x:v>2024-12</x:v>
      </x:c>
      <x:c r="C2077" t="str">
        <x:v>Salaried</x:v>
      </x:c>
      <x:c r="D2077" t="str">
        <x:v>Group B</x:v>
      </x:c>
      <x:c r="E2077" s="26" t="n">
        <x:v>17348.26</x:v>
      </x:c>
      <x:c r="F2077" t="n">
        <x:v>0</x:v>
      </x:c>
      <x:c r="G2077" s="25" t="n">
        <x:v>0.057319</x:v>
      </x:c>
      <x:c r="H2077" t="n">
        <x:f>IF(G2077&lt;$B$6,1,0)</x:f>
        <x:v>1</x:v>
      </x:c>
      <x:c r="I2077" s="26" t="n">
        <x:f>H2077*IF(F2077=0,E2077*$B$7,-E2077*$B$8)</x:f>
        <x:v>2081.7911999999997</x:v>
      </x:c>
    </x:row>
    <x:row r="2078">
      <x:c r="A2078" t="n">
        <x:v>736</x:v>
      </x:c>
      <x:c r="B2078" t="str">
        <x:v>2024-12</x:v>
      </x:c>
      <x:c r="C2078" t="str">
        <x:v>Salaried</x:v>
      </x:c>
      <x:c r="D2078" t="str">
        <x:v>Group A</x:v>
      </x:c>
      <x:c r="E2078" s="26" t="n">
        <x:v>9651.31</x:v>
      </x:c>
      <x:c r="F2078" t="n">
        <x:v>0</x:v>
      </x:c>
      <x:c r="G2078" s="25" t="n">
        <x:v>0.032801</x:v>
      </x:c>
      <x:c r="H2078" t="n">
        <x:f>IF(G2078&lt;$B$6,1,0)</x:f>
        <x:v>1</x:v>
      </x:c>
      <x:c r="I2078" s="26" t="n">
        <x:f>H2078*IF(F2078=0,E2078*$B$7,-E2078*$B$8)</x:f>
        <x:v>1158.1571999999999</x:v>
      </x:c>
    </x:row>
    <x:row r="2079">
      <x:c r="A2079" t="n">
        <x:v>747</x:v>
      </x:c>
      <x:c r="B2079" t="str">
        <x:v>2024-12</x:v>
      </x:c>
      <x:c r="C2079" t="str">
        <x:v>Salaried</x:v>
      </x:c>
      <x:c r="D2079" t="str">
        <x:v>Group A</x:v>
      </x:c>
      <x:c r="E2079" s="26" t="n">
        <x:v>5196.81</x:v>
      </x:c>
      <x:c r="F2079" t="n">
        <x:v>0</x:v>
      </x:c>
      <x:c r="G2079" s="25" t="n">
        <x:v>0.469135</x:v>
      </x:c>
      <x:c r="H2079" t="n">
        <x:f>IF(G2079&lt;$B$6,1,0)</x:f>
        <x:v>0</x:v>
      </x:c>
      <x:c r="I2079" s="26" t="n">
        <x:f>H2079*IF(F2079=0,E2079*$B$7,-E2079*$B$8)</x:f>
        <x:v>0</x:v>
      </x:c>
    </x:row>
    <x:row r="2080">
      <x:c r="A2080" t="n">
        <x:v>752</x:v>
      </x:c>
      <x:c r="B2080" t="str">
        <x:v>2024-12</x:v>
      </x:c>
      <x:c r="C2080" t="str">
        <x:v>Self employed</x:v>
      </x:c>
      <x:c r="D2080" t="str">
        <x:v>Group A</x:v>
      </x:c>
      <x:c r="E2080" s="26" t="n">
        <x:v>10387.52</x:v>
      </x:c>
      <x:c r="F2080" t="n">
        <x:v>0</x:v>
      </x:c>
      <x:c r="G2080" s="25" t="n">
        <x:v>0.2995</x:v>
      </x:c>
      <x:c r="H2080" t="n">
        <x:f>IF(G2080&lt;$B$6,1,0)</x:f>
        <x:v>0</x:v>
      </x:c>
      <x:c r="I2080" s="26" t="n">
        <x:f>H2080*IF(F2080=0,E2080*$B$7,-E2080*$B$8)</x:f>
        <x:v>0</x:v>
      </x:c>
    </x:row>
    <x:row r="2081">
      <x:c r="A2081" t="n">
        <x:v>775</x:v>
      </x:c>
      <x:c r="B2081" t="str">
        <x:v>2024-12</x:v>
      </x:c>
      <x:c r="C2081" t="str">
        <x:v>Salaried</x:v>
      </x:c>
      <x:c r="D2081" t="str">
        <x:v>Group B</x:v>
      </x:c>
      <x:c r="E2081" s="26" t="n">
        <x:v>15150.7</x:v>
      </x:c>
      <x:c r="F2081" t="n">
        <x:v>1</x:v>
      </x:c>
      <x:c r="G2081" s="25" t="n">
        <x:v>0.19366</x:v>
      </x:c>
      <x:c r="H2081" t="n">
        <x:f>IF(G2081&lt;$B$6,1,0)</x:f>
        <x:v>0</x:v>
      </x:c>
      <x:c r="I2081" s="26" t="n">
        <x:f>H2081*IF(F2081=0,E2081*$B$7,-E2081*$B$8)</x:f>
        <x:v>0</x:v>
      </x:c>
    </x:row>
    <x:row r="2082">
      <x:c r="A2082" t="n">
        <x:v>793</x:v>
      </x:c>
      <x:c r="B2082" t="str">
        <x:v>2024-12</x:v>
      </x:c>
      <x:c r="C2082" t="str">
        <x:v>Salaried</x:v>
      </x:c>
      <x:c r="D2082" t="str">
        <x:v>Group A</x:v>
      </x:c>
      <x:c r="E2082" s="26" t="n">
        <x:v>34012.61</x:v>
      </x:c>
      <x:c r="F2082" t="n">
        <x:v>0</x:v>
      </x:c>
      <x:c r="G2082" s="25" t="n">
        <x:v>0.230723</x:v>
      </x:c>
      <x:c r="H2082" t="n">
        <x:f>IF(G2082&lt;$B$6,1,0)</x:f>
        <x:v>0</x:v>
      </x:c>
      <x:c r="I2082" s="26" t="n">
        <x:f>H2082*IF(F2082=0,E2082*$B$7,-E2082*$B$8)</x:f>
        <x:v>0</x:v>
      </x:c>
    </x:row>
    <x:row r="2083">
      <x:c r="A2083" t="n">
        <x:v>806</x:v>
      </x:c>
      <x:c r="B2083" t="str">
        <x:v>2024-12</x:v>
      </x:c>
      <x:c r="C2083" t="str">
        <x:v>Salaried</x:v>
      </x:c>
      <x:c r="D2083" t="str">
        <x:v>Group B</x:v>
      </x:c>
      <x:c r="E2083" s="26" t="n">
        <x:v>75000</x:v>
      </x:c>
      <x:c r="F2083" t="n">
        <x:v>1</x:v>
      </x:c>
      <x:c r="G2083" s="25" t="n">
        <x:v>0.485101</x:v>
      </x:c>
      <x:c r="H2083" t="n">
        <x:f>IF(G2083&lt;$B$6,1,0)</x:f>
        <x:v>0</x:v>
      </x:c>
      <x:c r="I2083" s="26" t="n">
        <x:f>H2083*IF(F2083=0,E2083*$B$7,-E2083*$B$8)</x:f>
        <x:v>0</x:v>
      </x:c>
    </x:row>
    <x:row r="2084">
      <x:c r="A2084" t="n">
        <x:v>808</x:v>
      </x:c>
      <x:c r="B2084" t="str">
        <x:v>2024-12</x:v>
      </x:c>
      <x:c r="C2084" t="str">
        <x:v>Salaried</x:v>
      </x:c>
      <x:c r="D2084" t="str">
        <x:v>Group A</x:v>
      </x:c>
      <x:c r="E2084" s="26" t="n">
        <x:v>8240.44</x:v>
      </x:c>
      <x:c r="F2084" t="n">
        <x:v>0</x:v>
      </x:c>
      <x:c r="G2084" s="25" t="n">
        <x:v>0.099641</x:v>
      </x:c>
      <x:c r="H2084" t="n">
        <x:f>IF(G2084&lt;$B$6,1,0)</x:f>
        <x:v>1</x:v>
      </x:c>
      <x:c r="I2084" s="26" t="n">
        <x:f>H2084*IF(F2084=0,E2084*$B$7,-E2084*$B$8)</x:f>
        <x:v>988.8528</x:v>
      </x:c>
    </x:row>
    <x:row r="2085">
      <x:c r="A2085" t="n">
        <x:v>865</x:v>
      </x:c>
      <x:c r="B2085" t="str">
        <x:v>2024-12</x:v>
      </x:c>
      <x:c r="C2085" t="str">
        <x:v>Salaried</x:v>
      </x:c>
      <x:c r="D2085" t="str">
        <x:v>Group A</x:v>
      </x:c>
      <x:c r="E2085" s="26" t="n">
        <x:v>13216.55</x:v>
      </x:c>
      <x:c r="F2085" t="n">
        <x:v>0</x:v>
      </x:c>
      <x:c r="G2085" s="25" t="n">
        <x:v>0.16731</x:v>
      </x:c>
      <x:c r="H2085" t="n">
        <x:f>IF(G2085&lt;$B$6,1,0)</x:f>
        <x:v>0</x:v>
      </x:c>
      <x:c r="I2085" s="26" t="n">
        <x:f>H2085*IF(F2085=0,E2085*$B$7,-E2085*$B$8)</x:f>
        <x:v>0</x:v>
      </x:c>
    </x:row>
    <x:row r="2086">
      <x:c r="A2086" t="n">
        <x:v>925</x:v>
      </x:c>
      <x:c r="B2086" t="str">
        <x:v>2024-12</x:v>
      </x:c>
      <x:c r="C2086" t="str">
        <x:v>Salaried</x:v>
      </x:c>
      <x:c r="D2086" t="str">
        <x:v>Group A</x:v>
      </x:c>
      <x:c r="E2086" s="26" t="n">
        <x:v>7383.01</x:v>
      </x:c>
      <x:c r="F2086" t="n">
        <x:v>1</x:v>
      </x:c>
      <x:c r="G2086" s="25" t="n">
        <x:v>0.109531</x:v>
      </x:c>
      <x:c r="H2086" t="n">
        <x:f>IF(G2086&lt;$B$6,1,0)</x:f>
        <x:v>1</x:v>
      </x:c>
      <x:c r="I2086" s="26" t="n">
        <x:f>H2086*IF(F2086=0,E2086*$B$7,-E2086*$B$8)</x:f>
        <x:v>-4798.9565</x:v>
      </x:c>
    </x:row>
    <x:row r="2087">
      <x:c r="A2087" t="n">
        <x:v>984</x:v>
      </x:c>
      <x:c r="B2087" t="str">
        <x:v>2024-12</x:v>
      </x:c>
      <x:c r="C2087" t="str">
        <x:v>Salaried</x:v>
      </x:c>
      <x:c r="D2087" t="str">
        <x:v>Group B</x:v>
      </x:c>
      <x:c r="E2087" s="26" t="n">
        <x:v>8935.25</x:v>
      </x:c>
      <x:c r="F2087" t="n">
        <x:v>0</x:v>
      </x:c>
      <x:c r="G2087" s="25" t="n">
        <x:v>0.467432</x:v>
      </x:c>
      <x:c r="H2087" t="n">
        <x:f>IF(G2087&lt;$B$6,1,0)</x:f>
        <x:v>0</x:v>
      </x:c>
      <x:c r="I2087" s="26" t="n">
        <x:f>H2087*IF(F2087=0,E2087*$B$7,-E2087*$B$8)</x:f>
        <x:v>0</x:v>
      </x:c>
    </x:row>
    <x:row r="2088">
      <x:c r="A2088" t="n">
        <x:v>1005</x:v>
      </x:c>
      <x:c r="B2088" t="str">
        <x:v>2024-12</x:v>
      </x:c>
      <x:c r="C2088" t="str">
        <x:v>Contract</x:v>
      </x:c>
      <x:c r="D2088" t="str">
        <x:v>Group B</x:v>
      </x:c>
      <x:c r="E2088" s="26" t="n">
        <x:v>23967.77</x:v>
      </x:c>
      <x:c r="F2088" t="n">
        <x:v>0</x:v>
      </x:c>
      <x:c r="G2088" s="25" t="n">
        <x:v>0.110216</x:v>
      </x:c>
      <x:c r="H2088" t="n">
        <x:f>IF(G2088&lt;$B$6,1,0)</x:f>
        <x:v>1</x:v>
      </x:c>
      <x:c r="I2088" s="26" t="n">
        <x:f>H2088*IF(F2088=0,E2088*$B$7,-E2088*$B$8)</x:f>
        <x:v>2876.1324</x:v>
      </x:c>
    </x:row>
    <x:row r="2089">
      <x:c r="A2089" t="n">
        <x:v>1011</x:v>
      </x:c>
      <x:c r="B2089" t="str">
        <x:v>2024-12</x:v>
      </x:c>
      <x:c r="C2089" t="str">
        <x:v>Salaried</x:v>
      </x:c>
      <x:c r="D2089" t="str">
        <x:v>Group A</x:v>
      </x:c>
      <x:c r="E2089" s="26" t="n">
        <x:v>30423</x:v>
      </x:c>
      <x:c r="F2089" t="n">
        <x:v>0</x:v>
      </x:c>
      <x:c r="G2089" s="25" t="n">
        <x:v>0.337227</x:v>
      </x:c>
      <x:c r="H2089" t="n">
        <x:f>IF(G2089&lt;$B$6,1,0)</x:f>
        <x:v>0</x:v>
      </x:c>
      <x:c r="I2089" s="26" t="n">
        <x:f>H2089*IF(F2089=0,E2089*$B$7,-E2089*$B$8)</x:f>
        <x:v>0</x:v>
      </x:c>
    </x:row>
    <x:row r="2090">
      <x:c r="A2090" t="n">
        <x:v>1018</x:v>
      </x:c>
      <x:c r="B2090" t="str">
        <x:v>2024-12</x:v>
      </x:c>
      <x:c r="C2090" t="str">
        <x:v>Self employed</x:v>
      </x:c>
      <x:c r="D2090" t="str">
        <x:v>Group B</x:v>
      </x:c>
      <x:c r="E2090" s="26" t="n">
        <x:v>45915.83</x:v>
      </x:c>
      <x:c r="F2090" t="n">
        <x:v>0</x:v>
      </x:c>
      <x:c r="G2090" s="25" t="n">
        <x:v>0.394394</x:v>
      </x:c>
      <x:c r="H2090" t="n">
        <x:f>IF(G2090&lt;$B$6,1,0)</x:f>
        <x:v>0</x:v>
      </x:c>
      <x:c r="I2090" s="26" t="n">
        <x:f>H2090*IF(F2090=0,E2090*$B$7,-E2090*$B$8)</x:f>
        <x:v>0</x:v>
      </x:c>
    </x:row>
    <x:row r="2091">
      <x:c r="A2091" t="n">
        <x:v>1028</x:v>
      </x:c>
      <x:c r="B2091" t="str">
        <x:v>2024-12</x:v>
      </x:c>
      <x:c r="C2091" t="str">
        <x:v>Salaried</x:v>
      </x:c>
      <x:c r="D2091" t="str">
        <x:v>Group B</x:v>
      </x:c>
      <x:c r="E2091" s="26" t="n">
        <x:v>15218.68</x:v>
      </x:c>
      <x:c r="F2091" t="n">
        <x:v>1</x:v>
      </x:c>
      <x:c r="G2091" s="25" t="n">
        <x:v>0.39539</x:v>
      </x:c>
      <x:c r="H2091" t="n">
        <x:f>IF(G2091&lt;$B$6,1,0)</x:f>
        <x:v>0</x:v>
      </x:c>
      <x:c r="I2091" s="26" t="n">
        <x:f>H2091*IF(F2091=0,E2091*$B$7,-E2091*$B$8)</x:f>
        <x:v>0</x:v>
      </x:c>
    </x:row>
    <x:row r="2092">
      <x:c r="A2092" t="n">
        <x:v>1048</x:v>
      </x:c>
      <x:c r="B2092" t="str">
        <x:v>2024-12</x:v>
      </x:c>
      <x:c r="C2092" t="str">
        <x:v>Salaried</x:v>
      </x:c>
      <x:c r="D2092" t="str">
        <x:v>Group A</x:v>
      </x:c>
      <x:c r="E2092" s="26" t="n">
        <x:v>31447.69</x:v>
      </x:c>
      <x:c r="F2092" t="n">
        <x:v>0</x:v>
      </x:c>
      <x:c r="G2092" s="25" t="n">
        <x:v>0.161586</x:v>
      </x:c>
      <x:c r="H2092" t="n">
        <x:f>IF(G2092&lt;$B$6,1,0)</x:f>
        <x:v>0</x:v>
      </x:c>
      <x:c r="I2092" s="26" t="n">
        <x:f>H2092*IF(F2092=0,E2092*$B$7,-E2092*$B$8)</x:f>
        <x:v>0</x:v>
      </x:c>
    </x:row>
    <x:row r="2093">
      <x:c r="A2093" t="n">
        <x:v>1069</x:v>
      </x:c>
      <x:c r="B2093" t="str">
        <x:v>2024-12</x:v>
      </x:c>
      <x:c r="C2093" t="str">
        <x:v>Salaried</x:v>
      </x:c>
      <x:c r="D2093" t="str">
        <x:v>Group B</x:v>
      </x:c>
      <x:c r="E2093" s="26" t="n">
        <x:v>12749.73</x:v>
      </x:c>
      <x:c r="F2093" t="n">
        <x:v>0</x:v>
      </x:c>
      <x:c r="G2093" s="25" t="n">
        <x:v>0.109274</x:v>
      </x:c>
      <x:c r="H2093" t="n">
        <x:f>IF(G2093&lt;$B$6,1,0)</x:f>
        <x:v>1</x:v>
      </x:c>
      <x:c r="I2093" s="26" t="n">
        <x:f>H2093*IF(F2093=0,E2093*$B$7,-E2093*$B$8)</x:f>
        <x:v>1529.9676</x:v>
      </x:c>
    </x:row>
    <x:row r="2094">
      <x:c r="A2094" t="n">
        <x:v>1080</x:v>
      </x:c>
      <x:c r="B2094" t="str">
        <x:v>2024-12</x:v>
      </x:c>
      <x:c r="C2094" t="str">
        <x:v>Contract</x:v>
      </x:c>
      <x:c r="D2094" t="str">
        <x:v>Group A</x:v>
      </x:c>
      <x:c r="E2094" s="26" t="n">
        <x:v>61093.98</x:v>
      </x:c>
      <x:c r="F2094" t="n">
        <x:v>1</x:v>
      </x:c>
      <x:c r="G2094" s="25" t="n">
        <x:v>0.308259</x:v>
      </x:c>
      <x:c r="H2094" t="n">
        <x:f>IF(G2094&lt;$B$6,1,0)</x:f>
        <x:v>0</x:v>
      </x:c>
      <x:c r="I2094" s="26" t="n">
        <x:f>H2094*IF(F2094=0,E2094*$B$7,-E2094*$B$8)</x:f>
        <x:v>0</x:v>
      </x:c>
    </x:row>
    <x:row r="2095">
      <x:c r="A2095" t="n">
        <x:v>1101</x:v>
      </x:c>
      <x:c r="B2095" t="str">
        <x:v>2024-12</x:v>
      </x:c>
      <x:c r="C2095" t="str">
        <x:v>Self employed</x:v>
      </x:c>
      <x:c r="D2095" t="str">
        <x:v>Group B</x:v>
      </x:c>
      <x:c r="E2095" s="26" t="n">
        <x:v>7670.51</x:v>
      </x:c>
      <x:c r="F2095" t="n">
        <x:v>1</x:v>
      </x:c>
      <x:c r="G2095" s="25" t="n">
        <x:v>0.221658</x:v>
      </x:c>
      <x:c r="H2095" t="n">
        <x:f>IF(G2095&lt;$B$6,1,0)</x:f>
        <x:v>0</x:v>
      </x:c>
      <x:c r="I2095" s="26" t="n">
        <x:f>H2095*IF(F2095=0,E2095*$B$7,-E2095*$B$8)</x:f>
        <x:v>0</x:v>
      </x:c>
    </x:row>
    <x:row r="2096">
      <x:c r="A2096" t="n">
        <x:v>1123</x:v>
      </x:c>
      <x:c r="B2096" t="str">
        <x:v>2024-12</x:v>
      </x:c>
      <x:c r="C2096" t="str">
        <x:v>Contract</x:v>
      </x:c>
      <x:c r="D2096" t="str">
        <x:v>Group B</x:v>
      </x:c>
      <x:c r="E2096" s="26" t="n">
        <x:v>11102.34</x:v>
      </x:c>
      <x:c r="F2096" t="n">
        <x:v>1</x:v>
      </x:c>
      <x:c r="G2096" s="25" t="n">
        <x:v>0.179684</x:v>
      </x:c>
      <x:c r="H2096" t="n">
        <x:f>IF(G2096&lt;$B$6,1,0)</x:f>
        <x:v>0</x:v>
      </x:c>
      <x:c r="I2096" s="26" t="n">
        <x:f>H2096*IF(F2096=0,E2096*$B$7,-E2096*$B$8)</x:f>
        <x:v>0</x:v>
      </x:c>
    </x:row>
    <x:row r="2097">
      <x:c r="A2097" t="n">
        <x:v>1141</x:v>
      </x:c>
      <x:c r="B2097" t="str">
        <x:v>2024-12</x:v>
      </x:c>
      <x:c r="C2097" t="str">
        <x:v>Self employed</x:v>
      </x:c>
      <x:c r="D2097" t="str">
        <x:v>Group A</x:v>
      </x:c>
      <x:c r="E2097" s="26" t="n">
        <x:v>15105.62</x:v>
      </x:c>
      <x:c r="F2097" t="n">
        <x:v>0</x:v>
      </x:c>
      <x:c r="G2097" s="25" t="n">
        <x:v>0.038609</x:v>
      </x:c>
      <x:c r="H2097" t="n">
        <x:f>IF(G2097&lt;$B$6,1,0)</x:f>
        <x:v>1</x:v>
      </x:c>
      <x:c r="I2097" s="26" t="n">
        <x:f>H2097*IF(F2097=0,E2097*$B$7,-E2097*$B$8)</x:f>
        <x:v>1812.6744</x:v>
      </x:c>
    </x:row>
    <x:row r="2098">
      <x:c r="A2098" t="n">
        <x:v>1170</x:v>
      </x:c>
      <x:c r="B2098" t="str">
        <x:v>2024-12</x:v>
      </x:c>
      <x:c r="C2098" t="str">
        <x:v>Salaried</x:v>
      </x:c>
      <x:c r="D2098" t="str">
        <x:v>Group B</x:v>
      </x:c>
      <x:c r="E2098" s="26" t="n">
        <x:v>14956.4</x:v>
      </x:c>
      <x:c r="F2098" t="n">
        <x:v>0</x:v>
      </x:c>
      <x:c r="G2098" s="25" t="n">
        <x:v>0.158633</x:v>
      </x:c>
      <x:c r="H2098" t="n">
        <x:f>IF(G2098&lt;$B$6,1,0)</x:f>
        <x:v>1</x:v>
      </x:c>
      <x:c r="I2098" s="26" t="n">
        <x:f>H2098*IF(F2098=0,E2098*$B$7,-E2098*$B$8)</x:f>
        <x:v>1794.7679999999998</x:v>
      </x:c>
    </x:row>
    <x:row r="2099">
      <x:c r="A2099" t="n">
        <x:v>1200</x:v>
      </x:c>
      <x:c r="B2099" t="str">
        <x:v>2024-12</x:v>
      </x:c>
      <x:c r="C2099" t="str">
        <x:v>Salaried</x:v>
      </x:c>
      <x:c r="D2099" t="str">
        <x:v>Group A</x:v>
      </x:c>
      <x:c r="E2099" s="26" t="n">
        <x:v>19029.73</x:v>
      </x:c>
      <x:c r="F2099" t="n">
        <x:v>1</x:v>
      </x:c>
      <x:c r="G2099" s="25" t="n">
        <x:v>0.179765</x:v>
      </x:c>
      <x:c r="H2099" t="n">
        <x:f>IF(G2099&lt;$B$6,1,0)</x:f>
        <x:v>0</x:v>
      </x:c>
      <x:c r="I2099" s="26" t="n">
        <x:f>H2099*IF(F2099=0,E2099*$B$7,-E2099*$B$8)</x:f>
        <x:v>0</x:v>
      </x:c>
    </x:row>
    <x:row r="2100">
      <x:c r="A2100" t="n">
        <x:v>1211</x:v>
      </x:c>
      <x:c r="B2100" t="str">
        <x:v>2024-12</x:v>
      </x:c>
      <x:c r="C2100" t="str">
        <x:v>Salaried</x:v>
      </x:c>
      <x:c r="D2100" t="str">
        <x:v>Group A</x:v>
      </x:c>
      <x:c r="E2100" s="26" t="n">
        <x:v>8077.34</x:v>
      </x:c>
      <x:c r="F2100" t="n">
        <x:v>1</x:v>
      </x:c>
      <x:c r="G2100" s="25" t="n">
        <x:v>0.469913</x:v>
      </x:c>
      <x:c r="H2100" t="n">
        <x:f>IF(G2100&lt;$B$6,1,0)</x:f>
        <x:v>0</x:v>
      </x:c>
      <x:c r="I2100" s="26" t="n">
        <x:f>H2100*IF(F2100=0,E2100*$B$7,-E2100*$B$8)</x:f>
        <x:v>0</x:v>
      </x:c>
    </x:row>
    <x:row r="2101">
      <x:c r="A2101" t="n">
        <x:v>1238</x:v>
      </x:c>
      <x:c r="B2101" t="str">
        <x:v>2024-12</x:v>
      </x:c>
      <x:c r="C2101" t="str">
        <x:v>Salaried</x:v>
      </x:c>
      <x:c r="D2101" t="str">
        <x:v>Group A</x:v>
      </x:c>
      <x:c r="E2101" s="26" t="n">
        <x:v>8147.4</x:v>
      </x:c>
      <x:c r="F2101" t="n">
        <x:v>0</x:v>
      </x:c>
      <x:c r="G2101" s="25" t="n">
        <x:v>0.029882</x:v>
      </x:c>
      <x:c r="H2101" t="n">
        <x:f>IF(G2101&lt;$B$6,1,0)</x:f>
        <x:v>1</x:v>
      </x:c>
      <x:c r="I2101" s="26" t="n">
        <x:f>H2101*IF(F2101=0,E2101*$B$7,-E2101*$B$8)</x:f>
        <x:v>977.6879999999999</x:v>
      </x:c>
    </x:row>
    <x:row r="2102">
      <x:c r="A2102" t="n">
        <x:v>1305</x:v>
      </x:c>
      <x:c r="B2102" t="str">
        <x:v>2024-12</x:v>
      </x:c>
      <x:c r="C2102" t="str">
        <x:v>Salaried</x:v>
      </x:c>
      <x:c r="D2102" t="str">
        <x:v>Group A</x:v>
      </x:c>
      <x:c r="E2102" s="26" t="n">
        <x:v>4138.16</x:v>
      </x:c>
      <x:c r="F2102" t="n">
        <x:v>0</x:v>
      </x:c>
      <x:c r="G2102" s="25" t="n">
        <x:v>0.078119</x:v>
      </x:c>
      <x:c r="H2102" t="n">
        <x:f>IF(G2102&lt;$B$6,1,0)</x:f>
        <x:v>1</x:v>
      </x:c>
      <x:c r="I2102" s="26" t="n">
        <x:f>H2102*IF(F2102=0,E2102*$B$7,-E2102*$B$8)</x:f>
        <x:v>496.57919999999996</x:v>
      </x:c>
    </x:row>
    <x:row r="2103">
      <x:c r="A2103" t="n">
        <x:v>1307</x:v>
      </x:c>
      <x:c r="B2103" t="str">
        <x:v>2024-12</x:v>
      </x:c>
      <x:c r="C2103" t="str">
        <x:v>Salaried</x:v>
      </x:c>
      <x:c r="D2103" t="str">
        <x:v>Group B</x:v>
      </x:c>
      <x:c r="E2103" s="26" t="n">
        <x:v>15441.28</x:v>
      </x:c>
      <x:c r="F2103" t="n">
        <x:v>0</x:v>
      </x:c>
      <x:c r="G2103" s="25" t="n">
        <x:v>0.111994</x:v>
      </x:c>
      <x:c r="H2103" t="n">
        <x:f>IF(G2103&lt;$B$6,1,0)</x:f>
        <x:v>1</x:v>
      </x:c>
      <x:c r="I2103" s="26" t="n">
        <x:f>H2103*IF(F2103=0,E2103*$B$7,-E2103*$B$8)</x:f>
        <x:v>1852.9536</x:v>
      </x:c>
    </x:row>
    <x:row r="2104">
      <x:c r="A2104" t="n">
        <x:v>1392</x:v>
      </x:c>
      <x:c r="B2104" t="str">
        <x:v>2024-12</x:v>
      </x:c>
      <x:c r="C2104" t="str">
        <x:v>Self employed</x:v>
      </x:c>
      <x:c r="D2104" t="str">
        <x:v>Group A</x:v>
      </x:c>
      <x:c r="E2104" s="26" t="n">
        <x:v>12226.86</x:v>
      </x:c>
      <x:c r="F2104" t="n">
        <x:v>0</x:v>
      </x:c>
      <x:c r="G2104" s="25" t="n">
        <x:v>0.105843</x:v>
      </x:c>
      <x:c r="H2104" t="n">
        <x:f>IF(G2104&lt;$B$6,1,0)</x:f>
        <x:v>1</x:v>
      </x:c>
      <x:c r="I2104" s="26" t="n">
        <x:f>H2104*IF(F2104=0,E2104*$B$7,-E2104*$B$8)</x:f>
        <x:v>1467.2232</x:v>
      </x:c>
    </x:row>
    <x:row r="2105">
      <x:c r="A2105" t="n">
        <x:v>1404</x:v>
      </x:c>
      <x:c r="B2105" t="str">
        <x:v>2024-12</x:v>
      </x:c>
      <x:c r="C2105" t="str">
        <x:v>Salaried</x:v>
      </x:c>
      <x:c r="D2105" t="str">
        <x:v>Group A</x:v>
      </x:c>
      <x:c r="E2105" s="26" t="n">
        <x:v>10403.93</x:v>
      </x:c>
      <x:c r="F2105" t="n">
        <x:v>0</x:v>
      </x:c>
      <x:c r="G2105" s="25" t="n">
        <x:v>0.347145</x:v>
      </x:c>
      <x:c r="H2105" t="n">
        <x:f>IF(G2105&lt;$B$6,1,0)</x:f>
        <x:v>0</x:v>
      </x:c>
      <x:c r="I2105" s="26" t="n">
        <x:f>H2105*IF(F2105=0,E2105*$B$7,-E2105*$B$8)</x:f>
        <x:v>0</x:v>
      </x:c>
    </x:row>
    <x:row r="2106">
      <x:c r="A2106" t="n">
        <x:v>1414</x:v>
      </x:c>
      <x:c r="B2106" t="str">
        <x:v>2024-12</x:v>
      </x:c>
      <x:c r="C2106" t="str">
        <x:v>Salaried</x:v>
      </x:c>
      <x:c r="D2106" t="str">
        <x:v>Group A</x:v>
      </x:c>
      <x:c r="E2106" s="26" t="n">
        <x:v>13192.87</x:v>
      </x:c>
      <x:c r="F2106" t="n">
        <x:v>1</x:v>
      </x:c>
      <x:c r="G2106" s="25" t="n">
        <x:v>0.759506</x:v>
      </x:c>
      <x:c r="H2106" t="n">
        <x:f>IF(G2106&lt;$B$6,1,0)</x:f>
        <x:v>0</x:v>
      </x:c>
      <x:c r="I2106" s="26" t="n">
        <x:f>H2106*IF(F2106=0,E2106*$B$7,-E2106*$B$8)</x:f>
        <x:v>0</x:v>
      </x:c>
    </x:row>
    <x:row r="2107">
      <x:c r="A2107" t="n">
        <x:v>1417</x:v>
      </x:c>
      <x:c r="B2107" t="str">
        <x:v>2024-12</x:v>
      </x:c>
      <x:c r="C2107" t="str">
        <x:v>Salaried</x:v>
      </x:c>
      <x:c r="D2107" t="str">
        <x:v>Group A</x:v>
      </x:c>
      <x:c r="E2107" s="26" t="n">
        <x:v>37716.52</x:v>
      </x:c>
      <x:c r="F2107" t="n">
        <x:v>0</x:v>
      </x:c>
      <x:c r="G2107" s="25" t="n">
        <x:v>0.372297</x:v>
      </x:c>
      <x:c r="H2107" t="n">
        <x:f>IF(G2107&lt;$B$6,1,0)</x:f>
        <x:v>0</x:v>
      </x:c>
      <x:c r="I2107" s="26" t="n">
        <x:f>H2107*IF(F2107=0,E2107*$B$7,-E2107*$B$8)</x:f>
        <x:v>0</x:v>
      </x:c>
    </x:row>
    <x:row r="2108">
      <x:c r="A2108" t="n">
        <x:v>1422</x:v>
      </x:c>
      <x:c r="B2108" t="str">
        <x:v>2024-12</x:v>
      </x:c>
      <x:c r="C2108" t="str">
        <x:v>Contract</x:v>
      </x:c>
      <x:c r="D2108" t="str">
        <x:v>Group B</x:v>
      </x:c>
      <x:c r="E2108" s="26" t="n">
        <x:v>6528.96</x:v>
      </x:c>
      <x:c r="F2108" t="n">
        <x:v>1</x:v>
      </x:c>
      <x:c r="G2108" s="25" t="n">
        <x:v>0.163301</x:v>
      </x:c>
      <x:c r="H2108" t="n">
        <x:f>IF(G2108&lt;$B$6,1,0)</x:f>
        <x:v>0</x:v>
      </x:c>
      <x:c r="I2108" s="26" t="n">
        <x:f>H2108*IF(F2108=0,E2108*$B$7,-E2108*$B$8)</x:f>
        <x:v>0</x:v>
      </x:c>
    </x:row>
    <x:row r="2109">
      <x:c r="A2109" t="n">
        <x:v>1425</x:v>
      </x:c>
      <x:c r="B2109" t="str">
        <x:v>2024-12</x:v>
      </x:c>
      <x:c r="C2109" t="str">
        <x:v>Contract</x:v>
      </x:c>
      <x:c r="D2109" t="str">
        <x:v>Group B</x:v>
      </x:c>
      <x:c r="E2109" s="26" t="n">
        <x:v>63283.12</x:v>
      </x:c>
      <x:c r="F2109" t="n">
        <x:v>1</x:v>
      </x:c>
      <x:c r="G2109" s="25" t="n">
        <x:v>0.641925</x:v>
      </x:c>
      <x:c r="H2109" t="n">
        <x:f>IF(G2109&lt;$B$6,1,0)</x:f>
        <x:v>0</x:v>
      </x:c>
      <x:c r="I2109" s="26" t="n">
        <x:f>H2109*IF(F2109=0,E2109*$B$7,-E2109*$B$8)</x:f>
        <x:v>0</x:v>
      </x:c>
    </x:row>
    <x:row r="2110">
      <x:c r="A2110" t="n">
        <x:v>1426</x:v>
      </x:c>
      <x:c r="B2110" t="str">
        <x:v>2024-12</x:v>
      </x:c>
      <x:c r="C2110" t="str">
        <x:v>Self employed</x:v>
      </x:c>
      <x:c r="D2110" t="str">
        <x:v>Group A</x:v>
      </x:c>
      <x:c r="E2110" s="26" t="n">
        <x:v>8354.21</x:v>
      </x:c>
      <x:c r="F2110" t="n">
        <x:v>0</x:v>
      </x:c>
      <x:c r="G2110" s="25" t="n">
        <x:v>0.184499</x:v>
      </x:c>
      <x:c r="H2110" t="n">
        <x:f>IF(G2110&lt;$B$6,1,0)</x:f>
        <x:v>0</x:v>
      </x:c>
      <x:c r="I2110" s="26" t="n">
        <x:f>H2110*IF(F2110=0,E2110*$B$7,-E2110*$B$8)</x:f>
        <x:v>0</x:v>
      </x:c>
    </x:row>
    <x:row r="2111">
      <x:c r="A2111" t="n">
        <x:v>1439</x:v>
      </x:c>
      <x:c r="B2111" t="str">
        <x:v>2024-12</x:v>
      </x:c>
      <x:c r="C2111" t="str">
        <x:v>Salaried</x:v>
      </x:c>
      <x:c r="D2111" t="str">
        <x:v>Group A</x:v>
      </x:c>
      <x:c r="E2111" s="26" t="n">
        <x:v>7566.14</x:v>
      </x:c>
      <x:c r="F2111" t="n">
        <x:v>0</x:v>
      </x:c>
      <x:c r="G2111" s="25" t="n">
        <x:v>0.096872</x:v>
      </x:c>
      <x:c r="H2111" t="n">
        <x:f>IF(G2111&lt;$B$6,1,0)</x:f>
        <x:v>1</x:v>
      </x:c>
      <x:c r="I2111" s="26" t="n">
        <x:f>H2111*IF(F2111=0,E2111*$B$7,-E2111*$B$8)</x:f>
        <x:v>907.9368000000001</x:v>
      </x:c>
    </x:row>
    <x:row r="2112">
      <x:c r="A2112" t="n">
        <x:v>1468</x:v>
      </x:c>
      <x:c r="B2112" t="str">
        <x:v>2024-12</x:v>
      </x:c>
      <x:c r="C2112" t="str">
        <x:v>Salaried</x:v>
      </x:c>
      <x:c r="D2112" t="str">
        <x:v>Group B</x:v>
      </x:c>
      <x:c r="E2112" s="26" t="n">
        <x:v>8022.75</x:v>
      </x:c>
      <x:c r="F2112" t="n">
        <x:v>0</x:v>
      </x:c>
      <x:c r="G2112" s="25" t="n">
        <x:v>0.109884</x:v>
      </x:c>
      <x:c r="H2112" t="n">
        <x:f>IF(G2112&lt;$B$6,1,0)</x:f>
        <x:v>1</x:v>
      </x:c>
      <x:c r="I2112" s="26" t="n">
        <x:f>H2112*IF(F2112=0,E2112*$B$7,-E2112*$B$8)</x:f>
        <x:v>962.73</x:v>
      </x:c>
    </x:row>
    <x:row r="2113">
      <x:c r="A2113" t="n">
        <x:v>1473</x:v>
      </x:c>
      <x:c r="B2113" t="str">
        <x:v>2024-12</x:v>
      </x:c>
      <x:c r="C2113" t="str">
        <x:v>Self employed</x:v>
      </x:c>
      <x:c r="D2113" t="str">
        <x:v>Group A</x:v>
      </x:c>
      <x:c r="E2113" s="26" t="n">
        <x:v>3477.6</x:v>
      </x:c>
      <x:c r="F2113" t="n">
        <x:v>0</x:v>
      </x:c>
      <x:c r="G2113" s="25" t="n">
        <x:v>0.133226</x:v>
      </x:c>
      <x:c r="H2113" t="n">
        <x:f>IF(G2113&lt;$B$6,1,0)</x:f>
        <x:v>1</x:v>
      </x:c>
      <x:c r="I2113" s="26" t="n">
        <x:f>H2113*IF(F2113=0,E2113*$B$7,-E2113*$B$8)</x:f>
        <x:v>417.31199999999995</x:v>
      </x:c>
    </x:row>
    <x:row r="2114">
      <x:c r="A2114" t="n">
        <x:v>1484</x:v>
      </x:c>
      <x:c r="B2114" t="str">
        <x:v>2024-12</x:v>
      </x:c>
      <x:c r="C2114" t="str">
        <x:v>Salaried</x:v>
      </x:c>
      <x:c r="D2114" t="str">
        <x:v>Group A</x:v>
      </x:c>
      <x:c r="E2114" s="26" t="n">
        <x:v>14486.5</x:v>
      </x:c>
      <x:c r="F2114" t="n">
        <x:v>0</x:v>
      </x:c>
      <x:c r="G2114" s="25" t="n">
        <x:v>0.182852</x:v>
      </x:c>
      <x:c r="H2114" t="n">
        <x:f>IF(G2114&lt;$B$6,1,0)</x:f>
        <x:v>0</x:v>
      </x:c>
      <x:c r="I2114" s="26" t="n">
        <x:f>H2114*IF(F2114=0,E2114*$B$7,-E2114*$B$8)</x:f>
        <x:v>0</x:v>
      </x:c>
    </x:row>
    <x:row r="2115">
      <x:c r="A2115" t="n">
        <x:v>1503</x:v>
      </x:c>
      <x:c r="B2115" t="str">
        <x:v>2024-12</x:v>
      </x:c>
      <x:c r="C2115" t="str">
        <x:v>Salaried</x:v>
      </x:c>
      <x:c r="D2115" t="str">
        <x:v>Group A</x:v>
      </x:c>
      <x:c r="E2115" s="26" t="n">
        <x:v>14775.44</x:v>
      </x:c>
      <x:c r="F2115" t="n">
        <x:v>0</x:v>
      </x:c>
      <x:c r="G2115" s="25" t="n">
        <x:v>0.398299</x:v>
      </x:c>
      <x:c r="H2115" t="n">
        <x:f>IF(G2115&lt;$B$6,1,0)</x:f>
        <x:v>0</x:v>
      </x:c>
      <x:c r="I2115" s="26" t="n">
        <x:f>H2115*IF(F2115=0,E2115*$B$7,-E2115*$B$8)</x:f>
        <x:v>0</x:v>
      </x:c>
    </x:row>
    <x:row r="2116">
      <x:c r="A2116" t="n">
        <x:v>1518</x:v>
      </x:c>
      <x:c r="B2116" t="str">
        <x:v>2024-12</x:v>
      </x:c>
      <x:c r="C2116" t="str">
        <x:v>Salaried</x:v>
      </x:c>
      <x:c r="D2116" t="str">
        <x:v>Group B</x:v>
      </x:c>
      <x:c r="E2116" s="26" t="n">
        <x:v>21669.22</x:v>
      </x:c>
      <x:c r="F2116" t="n">
        <x:v>1</x:v>
      </x:c>
      <x:c r="G2116" s="25" t="n">
        <x:v>0.390853</x:v>
      </x:c>
      <x:c r="H2116" t="n">
        <x:f>IF(G2116&lt;$B$6,1,0)</x:f>
        <x:v>0</x:v>
      </x:c>
      <x:c r="I2116" s="26" t="n">
        <x:f>H2116*IF(F2116=0,E2116*$B$7,-E2116*$B$8)</x:f>
        <x:v>0</x:v>
      </x:c>
    </x:row>
    <x:row r="2117">
      <x:c r="A2117" t="n">
        <x:v>1537</x:v>
      </x:c>
      <x:c r="B2117" t="str">
        <x:v>2024-12</x:v>
      </x:c>
      <x:c r="C2117" t="str">
        <x:v>Self employed</x:v>
      </x:c>
      <x:c r="D2117" t="str">
        <x:v>Group B</x:v>
      </x:c>
      <x:c r="E2117" s="26" t="n">
        <x:v>20658.07</x:v>
      </x:c>
      <x:c r="F2117" t="n">
        <x:v>1</x:v>
      </x:c>
      <x:c r="G2117" s="25" t="n">
        <x:v>0.213324</x:v>
      </x:c>
      <x:c r="H2117" t="n">
        <x:f>IF(G2117&lt;$B$6,1,0)</x:f>
        <x:v>0</x:v>
      </x:c>
      <x:c r="I2117" s="26" t="n">
        <x:f>H2117*IF(F2117=0,E2117*$B$7,-E2117*$B$8)</x:f>
        <x:v>0</x:v>
      </x:c>
    </x:row>
    <x:row r="2118">
      <x:c r="A2118" t="n">
        <x:v>1576</x:v>
      </x:c>
      <x:c r="B2118" t="str">
        <x:v>2024-12</x:v>
      </x:c>
      <x:c r="C2118" t="str">
        <x:v>Contract</x:v>
      </x:c>
      <x:c r="D2118" t="str">
        <x:v>Group B</x:v>
      </x:c>
      <x:c r="E2118" s="26" t="n">
        <x:v>7246.46</x:v>
      </x:c>
      <x:c r="F2118" t="n">
        <x:v>1</x:v>
      </x:c>
      <x:c r="G2118" s="25" t="n">
        <x:v>0.131608</x:v>
      </x:c>
      <x:c r="H2118" t="n">
        <x:f>IF(G2118&lt;$B$6,1,0)</x:f>
        <x:v>1</x:v>
      </x:c>
      <x:c r="I2118" s="26" t="n">
        <x:f>H2118*IF(F2118=0,E2118*$B$7,-E2118*$B$8)</x:f>
        <x:v>-4710.1990000000005</x:v>
      </x:c>
    </x:row>
    <x:row r="2119">
      <x:c r="A2119" t="n">
        <x:v>1635</x:v>
      </x:c>
      <x:c r="B2119" t="str">
        <x:v>2024-12</x:v>
      </x:c>
      <x:c r="C2119" t="str">
        <x:v>Salaried</x:v>
      </x:c>
      <x:c r="D2119" t="str">
        <x:v>Group A</x:v>
      </x:c>
      <x:c r="E2119" s="26" t="n">
        <x:v>51651.24</x:v>
      </x:c>
      <x:c r="F2119" t="n">
        <x:v>0</x:v>
      </x:c>
      <x:c r="G2119" s="25" t="n">
        <x:v>0.301583</x:v>
      </x:c>
      <x:c r="H2119" t="n">
        <x:f>IF(G2119&lt;$B$6,1,0)</x:f>
        <x:v>0</x:v>
      </x:c>
      <x:c r="I2119" s="26" t="n">
        <x:f>H2119*IF(F2119=0,E2119*$B$7,-E2119*$B$8)</x:f>
        <x:v>0</x:v>
      </x:c>
    </x:row>
    <x:row r="2120">
      <x:c r="A2120" t="n">
        <x:v>1661</x:v>
      </x:c>
      <x:c r="B2120" t="str">
        <x:v>2024-12</x:v>
      </x:c>
      <x:c r="C2120" t="str">
        <x:v>Contract</x:v>
      </x:c>
      <x:c r="D2120" t="str">
        <x:v>Group A</x:v>
      </x:c>
      <x:c r="E2120" s="26" t="n">
        <x:v>7683.96</x:v>
      </x:c>
      <x:c r="F2120" t="n">
        <x:v>0</x:v>
      </x:c>
      <x:c r="G2120" s="25" t="n">
        <x:v>0.054478</x:v>
      </x:c>
      <x:c r="H2120" t="n">
        <x:f>IF(G2120&lt;$B$6,1,0)</x:f>
        <x:v>1</x:v>
      </x:c>
      <x:c r="I2120" s="26" t="n">
        <x:f>H2120*IF(F2120=0,E2120*$B$7,-E2120*$B$8)</x:f>
        <x:v>922.0752</x:v>
      </x:c>
    </x:row>
    <x:row r="2121">
      <x:c r="A2121" t="n">
        <x:v>1682</x:v>
      </x:c>
      <x:c r="B2121" t="str">
        <x:v>2024-12</x:v>
      </x:c>
      <x:c r="C2121" t="str">
        <x:v>Salaried</x:v>
      </x:c>
      <x:c r="D2121" t="str">
        <x:v>Group B</x:v>
      </x:c>
      <x:c r="E2121" s="26" t="n">
        <x:v>37103.99</x:v>
      </x:c>
      <x:c r="F2121" t="n">
        <x:v>0</x:v>
      </x:c>
      <x:c r="G2121" s="25" t="n">
        <x:v>0.396288</x:v>
      </x:c>
      <x:c r="H2121" t="n">
        <x:f>IF(G2121&lt;$B$6,1,0)</x:f>
        <x:v>0</x:v>
      </x:c>
      <x:c r="I2121" s="26" t="n">
        <x:f>H2121*IF(F2121=0,E2121*$B$7,-E2121*$B$8)</x:f>
        <x:v>0</x:v>
      </x:c>
    </x:row>
    <x:row r="2122">
      <x:c r="A2122" t="n">
        <x:v>1689</x:v>
      </x:c>
      <x:c r="B2122" t="str">
        <x:v>2024-12</x:v>
      </x:c>
      <x:c r="C2122" t="str">
        <x:v>Salaried</x:v>
      </x:c>
      <x:c r="D2122" t="str">
        <x:v>Group A</x:v>
      </x:c>
      <x:c r="E2122" s="26" t="n">
        <x:v>14474.62</x:v>
      </x:c>
      <x:c r="F2122" t="n">
        <x:v>0</x:v>
      </x:c>
      <x:c r="G2122" s="25" t="n">
        <x:v>0.381427</x:v>
      </x:c>
      <x:c r="H2122" t="n">
        <x:f>IF(G2122&lt;$B$6,1,0)</x:f>
        <x:v>0</x:v>
      </x:c>
      <x:c r="I2122" s="26" t="n">
        <x:f>H2122*IF(F2122=0,E2122*$B$7,-E2122*$B$8)</x:f>
        <x:v>0</x:v>
      </x:c>
    </x:row>
    <x:row r="2123">
      <x:c r="A2123" t="n">
        <x:v>1695</x:v>
      </x:c>
      <x:c r="B2123" t="str">
        <x:v>2024-12</x:v>
      </x:c>
      <x:c r="C2123" t="str">
        <x:v>Contract</x:v>
      </x:c>
      <x:c r="D2123" t="str">
        <x:v>Group A</x:v>
      </x:c>
      <x:c r="E2123" s="26" t="n">
        <x:v>37751.64</x:v>
      </x:c>
      <x:c r="F2123" t="n">
        <x:v>0</x:v>
      </x:c>
      <x:c r="G2123" s="25" t="n">
        <x:v>0.294803</x:v>
      </x:c>
      <x:c r="H2123" t="n">
        <x:f>IF(G2123&lt;$B$6,1,0)</x:f>
        <x:v>0</x:v>
      </x:c>
      <x:c r="I2123" s="26" t="n">
        <x:f>H2123*IF(F2123=0,E2123*$B$7,-E2123*$B$8)</x:f>
        <x:v>0</x:v>
      </x:c>
    </x:row>
    <x:row r="2124">
      <x:c r="A2124" t="n">
        <x:v>1713</x:v>
      </x:c>
      <x:c r="B2124" t="str">
        <x:v>2024-12</x:v>
      </x:c>
      <x:c r="C2124" t="str">
        <x:v>Salaried</x:v>
      </x:c>
      <x:c r="D2124" t="str">
        <x:v>Group A</x:v>
      </x:c>
      <x:c r="E2124" s="26" t="n">
        <x:v>31170.36</x:v>
      </x:c>
      <x:c r="F2124" t="n">
        <x:v>1</x:v>
      </x:c>
      <x:c r="G2124" s="25" t="n">
        <x:v>0.626903</x:v>
      </x:c>
      <x:c r="H2124" t="n">
        <x:f>IF(G2124&lt;$B$6,1,0)</x:f>
        <x:v>0</x:v>
      </x:c>
      <x:c r="I2124" s="26" t="n">
        <x:f>H2124*IF(F2124=0,E2124*$B$7,-E2124*$B$8)</x:f>
        <x:v>0</x:v>
      </x:c>
    </x:row>
    <x:row r="2125">
      <x:c r="A2125" t="n">
        <x:v>1720</x:v>
      </x:c>
      <x:c r="B2125" t="str">
        <x:v>2024-12</x:v>
      </x:c>
      <x:c r="C2125" t="str">
        <x:v>Salaried</x:v>
      </x:c>
      <x:c r="D2125" t="str">
        <x:v>Group B</x:v>
      </x:c>
      <x:c r="E2125" s="26" t="n">
        <x:v>31778.13</x:v>
      </x:c>
      <x:c r="F2125" t="n">
        <x:v>0</x:v>
      </x:c>
      <x:c r="G2125" s="25" t="n">
        <x:v>0.246447</x:v>
      </x:c>
      <x:c r="H2125" t="n">
        <x:f>IF(G2125&lt;$B$6,1,0)</x:f>
        <x:v>0</x:v>
      </x:c>
      <x:c r="I2125" s="26" t="n">
        <x:f>H2125*IF(F2125=0,E2125*$B$7,-E2125*$B$8)</x:f>
        <x:v>0</x:v>
      </x:c>
    </x:row>
    <x:row r="2126">
      <x:c r="A2126" t="n">
        <x:v>1723</x:v>
      </x:c>
      <x:c r="B2126" t="str">
        <x:v>2024-12</x:v>
      </x:c>
      <x:c r="C2126" t="str">
        <x:v>Salaried</x:v>
      </x:c>
      <x:c r="D2126" t="str">
        <x:v>Group B</x:v>
      </x:c>
      <x:c r="E2126" s="26" t="n">
        <x:v>19289.14</x:v>
      </x:c>
      <x:c r="F2126" t="n">
        <x:v>1</x:v>
      </x:c>
      <x:c r="G2126" s="25" t="n">
        <x:v>0.105666</x:v>
      </x:c>
      <x:c r="H2126" t="n">
        <x:f>IF(G2126&lt;$B$6,1,0)</x:f>
        <x:v>1</x:v>
      </x:c>
      <x:c r="I2126" s="26" t="n">
        <x:f>H2126*IF(F2126=0,E2126*$B$7,-E2126*$B$8)</x:f>
        <x:v>-12537.941</x:v>
      </x:c>
    </x:row>
    <x:row r="2127">
      <x:c r="A2127" t="n">
        <x:v>1732</x:v>
      </x:c>
      <x:c r="B2127" t="str">
        <x:v>2024-12</x:v>
      </x:c>
      <x:c r="C2127" t="str">
        <x:v>Self employed</x:v>
      </x:c>
      <x:c r="D2127" t="str">
        <x:v>Group A</x:v>
      </x:c>
      <x:c r="E2127" s="26" t="n">
        <x:v>27182.24</x:v>
      </x:c>
      <x:c r="F2127" t="n">
        <x:v>0</x:v>
      </x:c>
      <x:c r="G2127" s="25" t="n">
        <x:v>0.119335</x:v>
      </x:c>
      <x:c r="H2127" t="n">
        <x:f>IF(G2127&lt;$B$6,1,0)</x:f>
        <x:v>1</x:v>
      </x:c>
      <x:c r="I2127" s="26" t="n">
        <x:f>H2127*IF(F2127=0,E2127*$B$7,-E2127*$B$8)</x:f>
        <x:v>3261.8688</x:v>
      </x:c>
    </x:row>
    <x:row r="2128">
      <x:c r="A2128" t="n">
        <x:v>1755</x:v>
      </x:c>
      <x:c r="B2128" t="str">
        <x:v>2024-12</x:v>
      </x:c>
      <x:c r="C2128" t="str">
        <x:v>Salaried</x:v>
      </x:c>
      <x:c r="D2128" t="str">
        <x:v>Group B</x:v>
      </x:c>
      <x:c r="E2128" s="26" t="n">
        <x:v>13938.58</x:v>
      </x:c>
      <x:c r="F2128" t="n">
        <x:v>1</x:v>
      </x:c>
      <x:c r="G2128" s="25" t="n">
        <x:v>0.249372</x:v>
      </x:c>
      <x:c r="H2128" t="n">
        <x:f>IF(G2128&lt;$B$6,1,0)</x:f>
        <x:v>0</x:v>
      </x:c>
      <x:c r="I2128" s="26" t="n">
        <x:f>H2128*IF(F2128=0,E2128*$B$7,-E2128*$B$8)</x:f>
        <x:v>0</x:v>
      </x:c>
    </x:row>
    <x:row r="2129">
      <x:c r="A2129" t="n">
        <x:v>1773</x:v>
      </x:c>
      <x:c r="B2129" t="str">
        <x:v>2024-12</x:v>
      </x:c>
      <x:c r="C2129" t="str">
        <x:v>Self employed</x:v>
      </x:c>
      <x:c r="D2129" t="str">
        <x:v>Group A</x:v>
      </x:c>
      <x:c r="E2129" s="26" t="n">
        <x:v>7368.8</x:v>
      </x:c>
      <x:c r="F2129" t="n">
        <x:v>1</x:v>
      </x:c>
      <x:c r="G2129" s="25" t="n">
        <x:v>0.312</x:v>
      </x:c>
      <x:c r="H2129" t="n">
        <x:f>IF(G2129&lt;$B$6,1,0)</x:f>
        <x:v>0</x:v>
      </x:c>
      <x:c r="I2129" s="26" t="n">
        <x:f>H2129*IF(F2129=0,E2129*$B$7,-E2129*$B$8)</x:f>
        <x:v>0</x:v>
      </x:c>
    </x:row>
    <x:row r="2130">
      <x:c r="A2130" t="n">
        <x:v>1782</x:v>
      </x:c>
      <x:c r="B2130" t="str">
        <x:v>2024-12</x:v>
      </x:c>
      <x:c r="C2130" t="str">
        <x:v>Salaried</x:v>
      </x:c>
      <x:c r="D2130" t="str">
        <x:v>Group A</x:v>
      </x:c>
      <x:c r="E2130" s="26" t="n">
        <x:v>22416.62</x:v>
      </x:c>
      <x:c r="F2130" t="n">
        <x:v>0</x:v>
      </x:c>
      <x:c r="G2130" s="25" t="n">
        <x:v>0.083794</x:v>
      </x:c>
      <x:c r="H2130" t="n">
        <x:f>IF(G2130&lt;$B$6,1,0)</x:f>
        <x:v>1</x:v>
      </x:c>
      <x:c r="I2130" s="26" t="n">
        <x:f>H2130*IF(F2130=0,E2130*$B$7,-E2130*$B$8)</x:f>
        <x:v>2689.9943999999996</x:v>
      </x:c>
    </x:row>
    <x:row r="2131">
      <x:c r="A2131" t="n">
        <x:v>1788</x:v>
      </x:c>
      <x:c r="B2131" t="str">
        <x:v>2024-12</x:v>
      </x:c>
      <x:c r="C2131" t="str">
        <x:v>Salaried</x:v>
      </x:c>
      <x:c r="D2131" t="str">
        <x:v>Group A</x:v>
      </x:c>
      <x:c r="E2131" s="26" t="n">
        <x:v>17061.14</x:v>
      </x:c>
      <x:c r="F2131" t="n">
        <x:v>1</x:v>
      </x:c>
      <x:c r="G2131" s="25" t="n">
        <x:v>0.193213</x:v>
      </x:c>
      <x:c r="H2131" t="n">
        <x:f>IF(G2131&lt;$B$6,1,0)</x:f>
        <x:v>0</x:v>
      </x:c>
      <x:c r="I2131" s="26" t="n">
        <x:f>H2131*IF(F2131=0,E2131*$B$7,-E2131*$B$8)</x:f>
        <x:v>0</x:v>
      </x:c>
    </x:row>
    <x:row r="2132">
      <x:c r="A2132" t="n">
        <x:v>1804</x:v>
      </x:c>
      <x:c r="B2132" t="str">
        <x:v>2024-12</x:v>
      </x:c>
      <x:c r="C2132" t="str">
        <x:v>Salaried</x:v>
      </x:c>
      <x:c r="D2132" t="str">
        <x:v>Group B</x:v>
      </x:c>
      <x:c r="E2132" s="26" t="n">
        <x:v>22410.62</x:v>
      </x:c>
      <x:c r="F2132" t="n">
        <x:v>0</x:v>
      </x:c>
      <x:c r="G2132" s="25" t="n">
        <x:v>0.058531</x:v>
      </x:c>
      <x:c r="H2132" t="n">
        <x:f>IF(G2132&lt;$B$6,1,0)</x:f>
        <x:v>1</x:v>
      </x:c>
      <x:c r="I2132" s="26" t="n">
        <x:f>H2132*IF(F2132=0,E2132*$B$7,-E2132*$B$8)</x:f>
        <x:v>2689.2744</x:v>
      </x:c>
    </x:row>
    <x:row r="2133">
      <x:c r="A2133" t="n">
        <x:v>1805</x:v>
      </x:c>
      <x:c r="B2133" t="str">
        <x:v>2024-12</x:v>
      </x:c>
      <x:c r="C2133" t="str">
        <x:v>Self employed</x:v>
      </x:c>
      <x:c r="D2133" t="str">
        <x:v>Group A</x:v>
      </x:c>
      <x:c r="E2133" s="26" t="n">
        <x:v>8757.05</x:v>
      </x:c>
      <x:c r="F2133" t="n">
        <x:v>0</x:v>
      </x:c>
      <x:c r="G2133" s="25" t="n">
        <x:v>0.360153</x:v>
      </x:c>
      <x:c r="H2133" t="n">
        <x:f>IF(G2133&lt;$B$6,1,0)</x:f>
        <x:v>0</x:v>
      </x:c>
      <x:c r="I2133" s="26" t="n">
        <x:f>H2133*IF(F2133=0,E2133*$B$7,-E2133*$B$8)</x:f>
        <x:v>0</x:v>
      </x:c>
    </x:row>
    <x:row r="2134">
      <x:c r="A2134" t="n">
        <x:v>1809</x:v>
      </x:c>
      <x:c r="B2134" t="str">
        <x:v>2024-12</x:v>
      </x:c>
      <x:c r="C2134" t="str">
        <x:v>Salaried</x:v>
      </x:c>
      <x:c r="D2134" t="str">
        <x:v>Group A</x:v>
      </x:c>
      <x:c r="E2134" s="26" t="n">
        <x:v>14549.04</x:v>
      </x:c>
      <x:c r="F2134" t="n">
        <x:v>0</x:v>
      </x:c>
      <x:c r="G2134" s="25" t="n">
        <x:v>0.251097</x:v>
      </x:c>
      <x:c r="H2134" t="n">
        <x:f>IF(G2134&lt;$B$6,1,0)</x:f>
        <x:v>0</x:v>
      </x:c>
      <x:c r="I2134" s="26" t="n">
        <x:f>H2134*IF(F2134=0,E2134*$B$7,-E2134*$B$8)</x:f>
        <x:v>0</x:v>
      </x:c>
    </x:row>
    <x:row r="2135">
      <x:c r="A2135" t="n">
        <x:v>1878</x:v>
      </x:c>
      <x:c r="B2135" t="str">
        <x:v>2024-12</x:v>
      </x:c>
      <x:c r="C2135" t="str">
        <x:v>Salaried</x:v>
      </x:c>
      <x:c r="D2135" t="str">
        <x:v>Group B</x:v>
      </x:c>
      <x:c r="E2135" s="26" t="n">
        <x:v>12440.06</x:v>
      </x:c>
      <x:c r="F2135" t="n">
        <x:v>1</x:v>
      </x:c>
      <x:c r="G2135" s="25" t="n">
        <x:v>0.144012</x:v>
      </x:c>
      <x:c r="H2135" t="n">
        <x:f>IF(G2135&lt;$B$6,1,0)</x:f>
        <x:v>1</x:v>
      </x:c>
      <x:c r="I2135" s="26" t="n">
        <x:f>H2135*IF(F2135=0,E2135*$B$7,-E2135*$B$8)</x:f>
        <x:v>-8086.039</x:v>
      </x:c>
    </x:row>
    <x:row r="2136">
      <x:c r="A2136" t="n">
        <x:v>1888</x:v>
      </x:c>
      <x:c r="B2136" t="str">
        <x:v>2024-12</x:v>
      </x:c>
      <x:c r="C2136" t="str">
        <x:v>Salaried</x:v>
      </x:c>
      <x:c r="D2136" t="str">
        <x:v>Group A</x:v>
      </x:c>
      <x:c r="E2136" s="26" t="n">
        <x:v>7398.97</x:v>
      </x:c>
      <x:c r="F2136" t="n">
        <x:v>0</x:v>
      </x:c>
      <x:c r="G2136" s="25" t="n">
        <x:v>0.143359</x:v>
      </x:c>
      <x:c r="H2136" t="n">
        <x:f>IF(G2136&lt;$B$6,1,0)</x:f>
        <x:v>1</x:v>
      </x:c>
      <x:c r="I2136" s="26" t="n">
        <x:f>H2136*IF(F2136=0,E2136*$B$7,-E2136*$B$8)</x:f>
        <x:v>887.8764</x:v>
      </x:c>
    </x:row>
    <x:row r="2137">
      <x:c r="A2137" t="n">
        <x:v>1949</x:v>
      </x:c>
      <x:c r="B2137" t="str">
        <x:v>2024-12</x:v>
      </x:c>
      <x:c r="C2137" t="str">
        <x:v>Salaried</x:v>
      </x:c>
      <x:c r="D2137" t="str">
        <x:v>Group A</x:v>
      </x:c>
      <x:c r="E2137" s="26" t="n">
        <x:v>8998.06</x:v>
      </x:c>
      <x:c r="F2137" t="n">
        <x:v>0</x:v>
      </x:c>
      <x:c r="G2137" s="25" t="n">
        <x:v>0.056757</x:v>
      </x:c>
      <x:c r="H2137" t="n">
        <x:f>IF(G2137&lt;$B$6,1,0)</x:f>
        <x:v>1</x:v>
      </x:c>
      <x:c r="I2137" s="26" t="n">
        <x:f>H2137*IF(F2137=0,E2137*$B$7,-E2137*$B$8)</x:f>
        <x:v>1079.7672</x:v>
      </x:c>
    </x:row>
    <x:row r="2138">
      <x:c r="A2138" t="n">
        <x:v>1954</x:v>
      </x:c>
      <x:c r="B2138" t="str">
        <x:v>2024-12</x:v>
      </x:c>
      <x:c r="C2138" t="str">
        <x:v>Self employed</x:v>
      </x:c>
      <x:c r="D2138" t="str">
        <x:v>Group B</x:v>
      </x:c>
      <x:c r="E2138" s="26" t="n">
        <x:v>20413.24</x:v>
      </x:c>
      <x:c r="F2138" t="n">
        <x:v>0</x:v>
      </x:c>
      <x:c r="G2138" s="25" t="n">
        <x:v>0.228313</x:v>
      </x:c>
      <x:c r="H2138" t="n">
        <x:f>IF(G2138&lt;$B$6,1,0)</x:f>
        <x:v>0</x:v>
      </x:c>
      <x:c r="I2138" s="26" t="n">
        <x:f>H2138*IF(F2138=0,E2138*$B$7,-E2138*$B$8)</x:f>
        <x:v>0</x:v>
      </x:c>
    </x:row>
    <x:row r="2139">
      <x:c r="A2139" t="n">
        <x:v>1989</x:v>
      </x:c>
      <x:c r="B2139" t="str">
        <x:v>2024-12</x:v>
      </x:c>
      <x:c r="C2139" t="str">
        <x:v>Self employed</x:v>
      </x:c>
      <x:c r="D2139" t="str">
        <x:v>Group B</x:v>
      </x:c>
      <x:c r="E2139" s="26" t="n">
        <x:v>13820.07</x:v>
      </x:c>
      <x:c r="F2139" t="n">
        <x:v>0</x:v>
      </x:c>
      <x:c r="G2139" s="25" t="n">
        <x:v>0.309711</x:v>
      </x:c>
      <x:c r="H2139" t="n">
        <x:f>IF(G2139&lt;$B$6,1,0)</x:f>
        <x:v>0</x:v>
      </x:c>
      <x:c r="I2139" s="26" t="n">
        <x:f>H2139*IF(F2139=0,E2139*$B$7,-E2139*$B$8)</x:f>
        <x:v>0</x:v>
      </x:c>
    </x:row>
    <x:row r="2140">
      <x:c r="A2140" t="n">
        <x:v>1991</x:v>
      </x:c>
      <x:c r="B2140" t="str">
        <x:v>2024-12</x:v>
      </x:c>
      <x:c r="C2140" t="str">
        <x:v>Salaried</x:v>
      </x:c>
      <x:c r="D2140" t="str">
        <x:v>Group A</x:v>
      </x:c>
      <x:c r="E2140" s="26" t="n">
        <x:v>7411.71</x:v>
      </x:c>
      <x:c r="F2140" t="n">
        <x:v>0</x:v>
      </x:c>
      <x:c r="G2140" s="25" t="n">
        <x:v>0.114497</x:v>
      </x:c>
      <x:c r="H2140" t="n">
        <x:f>IF(G2140&lt;$B$6,1,0)</x:f>
        <x:v>1</x:v>
      </x:c>
      <x:c r="I2140" s="26" t="n">
        <x:f>H2140*IF(F2140=0,E2140*$B$7,-E2140*$B$8)</x:f>
        <x:v>889.4051999999999</x:v>
      </x:c>
    </x:row>
    <x:row r="2141">
      <x:c r="A2141" t="n">
        <x:v>2013</x:v>
      </x:c>
      <x:c r="B2141" t="str">
        <x:v>2024-12</x:v>
      </x:c>
      <x:c r="C2141" t="str">
        <x:v>Salaried</x:v>
      </x:c>
      <x:c r="D2141" t="str">
        <x:v>Group A</x:v>
      </x:c>
      <x:c r="E2141" s="26" t="n">
        <x:v>29840.53</x:v>
      </x:c>
      <x:c r="F2141" t="n">
        <x:v>1</x:v>
      </x:c>
      <x:c r="G2141" s="25" t="n">
        <x:v>0.374588</x:v>
      </x:c>
      <x:c r="H2141" t="n">
        <x:f>IF(G2141&lt;$B$6,1,0)</x:f>
        <x:v>0</x:v>
      </x:c>
      <x:c r="I2141" s="26" t="n">
        <x:f>H2141*IF(F2141=0,E2141*$B$7,-E2141*$B$8)</x:f>
        <x:v>0</x:v>
      </x:c>
    </x:row>
    <x:row r="2142">
      <x:c r="A2142" t="n">
        <x:v>2021</x:v>
      </x:c>
      <x:c r="B2142" t="str">
        <x:v>2024-12</x:v>
      </x:c>
      <x:c r="C2142" t="str">
        <x:v>Salaried</x:v>
      </x:c>
      <x:c r="D2142" t="str">
        <x:v>Group A</x:v>
      </x:c>
      <x:c r="E2142" s="26" t="n">
        <x:v>14677.39</x:v>
      </x:c>
      <x:c r="F2142" t="n">
        <x:v>0</x:v>
      </x:c>
      <x:c r="G2142" s="25" t="n">
        <x:v>0.0972</x:v>
      </x:c>
      <x:c r="H2142" t="n">
        <x:f>IF(G2142&lt;$B$6,1,0)</x:f>
        <x:v>1</x:v>
      </x:c>
      <x:c r="I2142" s="26" t="n">
        <x:f>H2142*IF(F2142=0,E2142*$B$7,-E2142*$B$8)</x:f>
        <x:v>1761.2867999999999</x:v>
      </x:c>
    </x:row>
    <x:row r="2143">
      <x:c r="A2143" t="n">
        <x:v>2026</x:v>
      </x:c>
      <x:c r="B2143" t="str">
        <x:v>2024-12</x:v>
      </x:c>
      <x:c r="C2143" t="str">
        <x:v>Salaried</x:v>
      </x:c>
      <x:c r="D2143" t="str">
        <x:v>Group B</x:v>
      </x:c>
      <x:c r="E2143" s="26" t="n">
        <x:v>30091.53</x:v>
      </x:c>
      <x:c r="F2143" t="n">
        <x:v>0</x:v>
      </x:c>
      <x:c r="G2143" s="25" t="n">
        <x:v>0.155112</x:v>
      </x:c>
      <x:c r="H2143" t="n">
        <x:f>IF(G2143&lt;$B$6,1,0)</x:f>
        <x:v>1</x:v>
      </x:c>
      <x:c r="I2143" s="26" t="n">
        <x:f>H2143*IF(F2143=0,E2143*$B$7,-E2143*$B$8)</x:f>
        <x:v>3610.9835999999996</x:v>
      </x:c>
    </x:row>
    <x:row r="2144">
      <x:c r="A2144" t="n">
        <x:v>2050</x:v>
      </x:c>
      <x:c r="B2144" t="str">
        <x:v>2024-12</x:v>
      </x:c>
      <x:c r="C2144" t="str">
        <x:v>Self employed</x:v>
      </x:c>
      <x:c r="D2144" t="str">
        <x:v>Group B</x:v>
      </x:c>
      <x:c r="E2144" s="26" t="n">
        <x:v>22886.89</x:v>
      </x:c>
      <x:c r="F2144" t="n">
        <x:v>1</x:v>
      </x:c>
      <x:c r="G2144" s="25" t="n">
        <x:v>0.139913</x:v>
      </x:c>
      <x:c r="H2144" t="n">
        <x:f>IF(G2144&lt;$B$6,1,0)</x:f>
        <x:v>1</x:v>
      </x:c>
      <x:c r="I2144" s="26" t="n">
        <x:f>H2144*IF(F2144=0,E2144*$B$7,-E2144*$B$8)</x:f>
        <x:v>-14876.4785</x:v>
      </x:c>
    </x:row>
    <x:row r="2145">
      <x:c r="A2145" t="n">
        <x:v>2100</x:v>
      </x:c>
      <x:c r="B2145" t="str">
        <x:v>2024-12</x:v>
      </x:c>
      <x:c r="C2145" t="str">
        <x:v>Self employed</x:v>
      </x:c>
      <x:c r="D2145" t="str">
        <x:v>Group A</x:v>
      </x:c>
      <x:c r="E2145" s="26" t="n">
        <x:v>20629.47</x:v>
      </x:c>
      <x:c r="F2145" t="n">
        <x:v>0</x:v>
      </x:c>
      <x:c r="G2145" s="25" t="n">
        <x:v>0.179069</x:v>
      </x:c>
      <x:c r="H2145" t="n">
        <x:f>IF(G2145&lt;$B$6,1,0)</x:f>
        <x:v>0</x:v>
      </x:c>
      <x:c r="I2145" s="26" t="n">
        <x:f>H2145*IF(F2145=0,E2145*$B$7,-E2145*$B$8)</x:f>
        <x:v>0</x:v>
      </x:c>
    </x:row>
    <x:row r="2146">
      <x:c r="A2146" t="n">
        <x:v>2124</x:v>
      </x:c>
      <x:c r="B2146" t="str">
        <x:v>2024-12</x:v>
      </x:c>
      <x:c r="C2146" t="str">
        <x:v>Contract</x:v>
      </x:c>
      <x:c r="D2146" t="str">
        <x:v>Group A</x:v>
      </x:c>
      <x:c r="E2146" s="26" t="n">
        <x:v>10932.38</x:v>
      </x:c>
      <x:c r="F2146" t="n">
        <x:v>1</x:v>
      </x:c>
      <x:c r="G2146" s="25" t="n">
        <x:v>0.281889</x:v>
      </x:c>
      <x:c r="H2146" t="n">
        <x:f>IF(G2146&lt;$B$6,1,0)</x:f>
        <x:v>0</x:v>
      </x:c>
      <x:c r="I2146" s="26" t="n">
        <x:f>H2146*IF(F2146=0,E2146*$B$7,-E2146*$B$8)</x:f>
        <x:v>0</x:v>
      </x:c>
    </x:row>
    <x:row r="2147">
      <x:c r="A2147" t="n">
        <x:v>2141</x:v>
      </x:c>
      <x:c r="B2147" t="str">
        <x:v>2024-12</x:v>
      </x:c>
      <x:c r="C2147" t="str">
        <x:v>Salaried</x:v>
      </x:c>
      <x:c r="D2147" t="str">
        <x:v>Group A</x:v>
      </x:c>
      <x:c r="E2147" s="26" t="n">
        <x:v>14919.21</x:v>
      </x:c>
      <x:c r="F2147" t="n">
        <x:v>0</x:v>
      </x:c>
      <x:c r="G2147" s="25" t="n">
        <x:v>0.041968</x:v>
      </x:c>
      <x:c r="H2147" t="n">
        <x:f>IF(G2147&lt;$B$6,1,0)</x:f>
        <x:v>1</x:v>
      </x:c>
      <x:c r="I2147" s="26" t="n">
        <x:f>H2147*IF(F2147=0,E2147*$B$7,-E2147*$B$8)</x:f>
        <x:v>1790.3051999999998</x:v>
      </x:c>
    </x:row>
    <x:row r="2148">
      <x:c r="A2148" t="n">
        <x:v>2195</x:v>
      </x:c>
      <x:c r="B2148" t="str">
        <x:v>2024-12</x:v>
      </x:c>
      <x:c r="C2148" t="str">
        <x:v>Salaried</x:v>
      </x:c>
      <x:c r="D2148" t="str">
        <x:v>Group B</x:v>
      </x:c>
      <x:c r="E2148" s="26" t="n">
        <x:v>8376.39</x:v>
      </x:c>
      <x:c r="F2148" t="n">
        <x:v>1</x:v>
      </x:c>
      <x:c r="G2148" s="25" t="n">
        <x:v>0.505349</x:v>
      </x:c>
      <x:c r="H2148" t="n">
        <x:f>IF(G2148&lt;$B$6,1,0)</x:f>
        <x:v>0</x:v>
      </x:c>
      <x:c r="I2148" s="26" t="n">
        <x:f>H2148*IF(F2148=0,E2148*$B$7,-E2148*$B$8)</x:f>
        <x:v>0</x:v>
      </x:c>
    </x:row>
    <x:row r="2149">
      <x:c r="A2149" t="n">
        <x:v>2318</x:v>
      </x:c>
      <x:c r="B2149" t="str">
        <x:v>2024-12</x:v>
      </x:c>
      <x:c r="C2149" t="str">
        <x:v>Self employed</x:v>
      </x:c>
      <x:c r="D2149" t="str">
        <x:v>Group B</x:v>
      </x:c>
      <x:c r="E2149" s="26" t="n">
        <x:v>54594.81</x:v>
      </x:c>
      <x:c r="F2149" t="n">
        <x:v>1</x:v>
      </x:c>
      <x:c r="G2149" s="25" t="n">
        <x:v>0.245288</x:v>
      </x:c>
      <x:c r="H2149" t="n">
        <x:f>IF(G2149&lt;$B$6,1,0)</x:f>
        <x:v>0</x:v>
      </x:c>
      <x:c r="I2149" s="26" t="n">
        <x:f>H2149*IF(F2149=0,E2149*$B$7,-E2149*$B$8)</x:f>
        <x:v>0</x:v>
      </x:c>
    </x:row>
    <x:row r="2150">
      <x:c r="A2150" t="n">
        <x:v>2328</x:v>
      </x:c>
      <x:c r="B2150" t="str">
        <x:v>2024-12</x:v>
      </x:c>
      <x:c r="C2150" t="str">
        <x:v>Salaried</x:v>
      </x:c>
      <x:c r="D2150" t="str">
        <x:v>Group A</x:v>
      </x:c>
      <x:c r="E2150" s="26" t="n">
        <x:v>26741.45</x:v>
      </x:c>
      <x:c r="F2150" t="n">
        <x:v>1</x:v>
      </x:c>
      <x:c r="G2150" s="25" t="n">
        <x:v>0.51924</x:v>
      </x:c>
      <x:c r="H2150" t="n">
        <x:f>IF(G2150&lt;$B$6,1,0)</x:f>
        <x:v>0</x:v>
      </x:c>
      <x:c r="I2150" s="26" t="n">
        <x:f>H2150*IF(F2150=0,E2150*$B$7,-E2150*$B$8)</x:f>
        <x:v>0</x:v>
      </x:c>
    </x:row>
    <x:row r="2151">
      <x:c r="A2151" t="n">
        <x:v>2371</x:v>
      </x:c>
      <x:c r="B2151" t="str">
        <x:v>2024-12</x:v>
      </x:c>
      <x:c r="C2151" t="str">
        <x:v>Self employed</x:v>
      </x:c>
      <x:c r="D2151" t="str">
        <x:v>Group A</x:v>
      </x:c>
      <x:c r="E2151" s="26" t="n">
        <x:v>7178.66</x:v>
      </x:c>
      <x:c r="F2151" t="n">
        <x:v>0</x:v>
      </x:c>
      <x:c r="G2151" s="25" t="n">
        <x:v>0.326751</x:v>
      </x:c>
      <x:c r="H2151" t="n">
        <x:f>IF(G2151&lt;$B$6,1,0)</x:f>
        <x:v>0</x:v>
      </x:c>
      <x:c r="I2151" s="26" t="n">
        <x:f>H2151*IF(F2151=0,E2151*$B$7,-E2151*$B$8)</x:f>
        <x:v>0</x:v>
      </x:c>
    </x:row>
    <x:row r="2152">
      <x:c r="A2152" t="n">
        <x:v>2377</x:v>
      </x:c>
      <x:c r="B2152" t="str">
        <x:v>2024-12</x:v>
      </x:c>
      <x:c r="C2152" t="str">
        <x:v>Salaried</x:v>
      </x:c>
      <x:c r="D2152" t="str">
        <x:v>Group B</x:v>
      </x:c>
      <x:c r="E2152" s="26" t="n">
        <x:v>40649.93</x:v>
      </x:c>
      <x:c r="F2152" t="n">
        <x:v>0</x:v>
      </x:c>
      <x:c r="G2152" s="25" t="n">
        <x:v>0.329079</x:v>
      </x:c>
      <x:c r="H2152" t="n">
        <x:f>IF(G2152&lt;$B$6,1,0)</x:f>
        <x:v>0</x:v>
      </x:c>
      <x:c r="I2152" s="26" t="n">
        <x:f>H2152*IF(F2152=0,E2152*$B$7,-E2152*$B$8)</x:f>
        <x:v>0</x:v>
      </x:c>
    </x:row>
    <x:row r="2153">
      <x:c r="A2153" t="n">
        <x:v>2378</x:v>
      </x:c>
      <x:c r="B2153" t="str">
        <x:v>2024-12</x:v>
      </x:c>
      <x:c r="C2153" t="str">
        <x:v>Salaried</x:v>
      </x:c>
      <x:c r="D2153" t="str">
        <x:v>Group B</x:v>
      </x:c>
      <x:c r="E2153" s="26" t="n">
        <x:v>14560.01</x:v>
      </x:c>
      <x:c r="F2153" t="n">
        <x:v>0</x:v>
      </x:c>
      <x:c r="G2153" s="25" t="n">
        <x:v>0.189633</x:v>
      </x:c>
      <x:c r="H2153" t="n">
        <x:f>IF(G2153&lt;$B$6,1,0)</x:f>
        <x:v>0</x:v>
      </x:c>
      <x:c r="I2153" s="26" t="n">
        <x:f>H2153*IF(F2153=0,E2153*$B$7,-E2153*$B$8)</x:f>
        <x:v>0</x:v>
      </x:c>
    </x:row>
    <x:row r="2154">
      <x:c r="A2154" t="n">
        <x:v>2381</x:v>
      </x:c>
      <x:c r="B2154" t="str">
        <x:v>2024-12</x:v>
      </x:c>
      <x:c r="C2154" t="str">
        <x:v>Contract</x:v>
      </x:c>
      <x:c r="D2154" t="str">
        <x:v>Group A</x:v>
      </x:c>
      <x:c r="E2154" s="26" t="n">
        <x:v>14695.93</x:v>
      </x:c>
      <x:c r="F2154" t="n">
        <x:v>0</x:v>
      </x:c>
      <x:c r="G2154" s="25" t="n">
        <x:v>0.393498</x:v>
      </x:c>
      <x:c r="H2154" t="n">
        <x:f>IF(G2154&lt;$B$6,1,0)</x:f>
        <x:v>0</x:v>
      </x:c>
      <x:c r="I2154" s="26" t="n">
        <x:f>H2154*IF(F2154=0,E2154*$B$7,-E2154*$B$8)</x:f>
        <x:v>0</x:v>
      </x:c>
    </x:row>
    <x:row r="2155">
      <x:c r="A2155" t="n">
        <x:v>2383</x:v>
      </x:c>
      <x:c r="B2155" t="str">
        <x:v>2024-12</x:v>
      </x:c>
      <x:c r="C2155" t="str">
        <x:v>Contract</x:v>
      </x:c>
      <x:c r="D2155" t="str">
        <x:v>Group A</x:v>
      </x:c>
      <x:c r="E2155" s="26" t="n">
        <x:v>6552.74</x:v>
      </x:c>
      <x:c r="F2155" t="n">
        <x:v>1</x:v>
      </x:c>
      <x:c r="G2155" s="25" t="n">
        <x:v>0.145131</x:v>
      </x:c>
      <x:c r="H2155" t="n">
        <x:f>IF(G2155&lt;$B$6,1,0)</x:f>
        <x:v>1</x:v>
      </x:c>
      <x:c r="I2155" s="26" t="n">
        <x:f>H2155*IF(F2155=0,E2155*$B$7,-E2155*$B$8)</x:f>
        <x:v>-4259.281</x:v>
      </x:c>
    </x:row>
    <x:row r="2156">
      <x:c r="A2156" t="n">
        <x:v>2451</x:v>
      </x:c>
      <x:c r="B2156" t="str">
        <x:v>2024-12</x:v>
      </x:c>
      <x:c r="C2156" t="str">
        <x:v>Salaried</x:v>
      </x:c>
      <x:c r="D2156" t="str">
        <x:v>Group A</x:v>
      </x:c>
      <x:c r="E2156" s="26" t="n">
        <x:v>9553.3</x:v>
      </x:c>
      <x:c r="F2156" t="n">
        <x:v>1</x:v>
      </x:c>
      <x:c r="G2156" s="25" t="n">
        <x:v>0.289053</x:v>
      </x:c>
      <x:c r="H2156" t="n">
        <x:f>IF(G2156&lt;$B$6,1,0)</x:f>
        <x:v>0</x:v>
      </x:c>
      <x:c r="I2156" s="26" t="n">
        <x:f>H2156*IF(F2156=0,E2156*$B$7,-E2156*$B$8)</x:f>
        <x:v>0</x:v>
      </x:c>
    </x:row>
    <x:row r="2157">
      <x:c r="A2157" t="n">
        <x:v>2461</x:v>
      </x:c>
      <x:c r="B2157" t="str">
        <x:v>2024-12</x:v>
      </x:c>
      <x:c r="C2157" t="str">
        <x:v>Salaried</x:v>
      </x:c>
      <x:c r="D2157" t="str">
        <x:v>Group B</x:v>
      </x:c>
      <x:c r="E2157" s="26" t="n">
        <x:v>5920.99</x:v>
      </x:c>
      <x:c r="F2157" t="n">
        <x:v>0</x:v>
      </x:c>
      <x:c r="G2157" s="25" t="n">
        <x:v>0.169189</x:v>
      </x:c>
      <x:c r="H2157" t="n">
        <x:f>IF(G2157&lt;$B$6,1,0)</x:f>
        <x:v>0</x:v>
      </x:c>
      <x:c r="I2157" s="26" t="n">
        <x:f>H2157*IF(F2157=0,E2157*$B$7,-E2157*$B$8)</x:f>
        <x:v>0</x:v>
      </x:c>
    </x:row>
    <x:row r="2158">
      <x:c r="A2158" t="n">
        <x:v>2468</x:v>
      </x:c>
      <x:c r="B2158" t="str">
        <x:v>2024-12</x:v>
      </x:c>
      <x:c r="C2158" t="str">
        <x:v>Salaried</x:v>
      </x:c>
      <x:c r="D2158" t="str">
        <x:v>Group A</x:v>
      </x:c>
      <x:c r="E2158" s="26" t="n">
        <x:v>11443.5</x:v>
      </x:c>
      <x:c r="F2158" t="n">
        <x:v>1</x:v>
      </x:c>
      <x:c r="G2158" s="25" t="n">
        <x:v>0.422077</x:v>
      </x:c>
      <x:c r="H2158" t="n">
        <x:f>IF(G2158&lt;$B$6,1,0)</x:f>
        <x:v>0</x:v>
      </x:c>
      <x:c r="I2158" s="26" t="n">
        <x:f>H2158*IF(F2158=0,E2158*$B$7,-E2158*$B$8)</x:f>
        <x:v>0</x:v>
      </x:c>
    </x:row>
    <x:row r="2159">
      <x:c r="A2159" t="n">
        <x:v>2508</x:v>
      </x:c>
      <x:c r="B2159" t="str">
        <x:v>2024-12</x:v>
      </x:c>
      <x:c r="C2159" t="str">
        <x:v>Salaried</x:v>
      </x:c>
      <x:c r="D2159" t="str">
        <x:v>Group B</x:v>
      </x:c>
      <x:c r="E2159" s="26" t="n">
        <x:v>10267.72</x:v>
      </x:c>
      <x:c r="F2159" t="n">
        <x:v>0</x:v>
      </x:c>
      <x:c r="G2159" s="25" t="n">
        <x:v>0.292716</x:v>
      </x:c>
      <x:c r="H2159" t="n">
        <x:f>IF(G2159&lt;$B$6,1,0)</x:f>
        <x:v>0</x:v>
      </x:c>
      <x:c r="I2159" s="26" t="n">
        <x:f>H2159*IF(F2159=0,E2159*$B$7,-E2159*$B$8)</x:f>
        <x:v>0</x:v>
      </x:c>
    </x:row>
    <x:row r="2160">
      <x:c r="A2160" t="n">
        <x:v>2566</x:v>
      </x:c>
      <x:c r="B2160" t="str">
        <x:v>2024-12</x:v>
      </x:c>
      <x:c r="C2160" t="str">
        <x:v>Salaried</x:v>
      </x:c>
      <x:c r="D2160" t="str">
        <x:v>Group B</x:v>
      </x:c>
      <x:c r="E2160" s="26" t="n">
        <x:v>11216.07</x:v>
      </x:c>
      <x:c r="F2160" t="n">
        <x:v>0</x:v>
      </x:c>
      <x:c r="G2160" s="25" t="n">
        <x:v>0.12553</x:v>
      </x:c>
      <x:c r="H2160" t="n">
        <x:f>IF(G2160&lt;$B$6,1,0)</x:f>
        <x:v>1</x:v>
      </x:c>
      <x:c r="I2160" s="26" t="n">
        <x:f>H2160*IF(F2160=0,E2160*$B$7,-E2160*$B$8)</x:f>
        <x:v>1345.9284</x:v>
      </x:c>
    </x:row>
    <x:row r="2161">
      <x:c r="A2161" t="n">
        <x:v>2578</x:v>
      </x:c>
      <x:c r="B2161" t="str">
        <x:v>2024-12</x:v>
      </x:c>
      <x:c r="C2161" t="str">
        <x:v>Salaried</x:v>
      </x:c>
      <x:c r="D2161" t="str">
        <x:v>Group B</x:v>
      </x:c>
      <x:c r="E2161" s="26" t="n">
        <x:v>3044.49</x:v>
      </x:c>
      <x:c r="F2161" t="n">
        <x:v>0</x:v>
      </x:c>
      <x:c r="G2161" s="25" t="n">
        <x:v>0.067492</x:v>
      </x:c>
      <x:c r="H2161" t="n">
        <x:f>IF(G2161&lt;$B$6,1,0)</x:f>
        <x:v>1</x:v>
      </x:c>
      <x:c r="I2161" s="26" t="n">
        <x:f>H2161*IF(F2161=0,E2161*$B$7,-E2161*$B$8)</x:f>
        <x:v>365.33879999999994</x:v>
      </x:c>
    </x:row>
    <x:row r="2162">
      <x:c r="A2162" t="n">
        <x:v>2586</x:v>
      </x:c>
      <x:c r="B2162" t="str">
        <x:v>2024-12</x:v>
      </x:c>
      <x:c r="C2162" t="str">
        <x:v>Self employed</x:v>
      </x:c>
      <x:c r="D2162" t="str">
        <x:v>Group A</x:v>
      </x:c>
      <x:c r="E2162" s="26" t="n">
        <x:v>15379.57</x:v>
      </x:c>
      <x:c r="F2162" t="n">
        <x:v>0</x:v>
      </x:c>
      <x:c r="G2162" s="25" t="n">
        <x:v>0.135173</x:v>
      </x:c>
      <x:c r="H2162" t="n">
        <x:f>IF(G2162&lt;$B$6,1,0)</x:f>
        <x:v>1</x:v>
      </x:c>
      <x:c r="I2162" s="26" t="n">
        <x:f>H2162*IF(F2162=0,E2162*$B$7,-E2162*$B$8)</x:f>
        <x:v>1845.5484</x:v>
      </x:c>
    </x:row>
    <x:row r="2163">
      <x:c r="A2163" t="n">
        <x:v>2591</x:v>
      </x:c>
      <x:c r="B2163" t="str">
        <x:v>2024-12</x:v>
      </x:c>
      <x:c r="C2163" t="str">
        <x:v>Salaried</x:v>
      </x:c>
      <x:c r="D2163" t="str">
        <x:v>Group A</x:v>
      </x:c>
      <x:c r="E2163" s="26" t="n">
        <x:v>13043.46</x:v>
      </x:c>
      <x:c r="F2163" t="n">
        <x:v>0</x:v>
      </x:c>
      <x:c r="G2163" s="25" t="n">
        <x:v>0.159605</x:v>
      </x:c>
      <x:c r="H2163" t="n">
        <x:f>IF(G2163&lt;$B$6,1,0)</x:f>
        <x:v>1</x:v>
      </x:c>
      <x:c r="I2163" s="26" t="n">
        <x:f>H2163*IF(F2163=0,E2163*$B$7,-E2163*$B$8)</x:f>
        <x:v>1565.2151999999999</x:v>
      </x:c>
    </x:row>
    <x:row r="2164">
      <x:c r="A2164" t="n">
        <x:v>2592</x:v>
      </x:c>
      <x:c r="B2164" t="str">
        <x:v>2024-12</x:v>
      </x:c>
      <x:c r="C2164" t="str">
        <x:v>Salaried</x:v>
      </x:c>
      <x:c r="D2164" t="str">
        <x:v>Group A</x:v>
      </x:c>
      <x:c r="E2164" s="26" t="n">
        <x:v>5575.75</x:v>
      </x:c>
      <x:c r="F2164" t="n">
        <x:v>0</x:v>
      </x:c>
      <x:c r="G2164" s="25" t="n">
        <x:v>0.181316</x:v>
      </x:c>
      <x:c r="H2164" t="n">
        <x:f>IF(G2164&lt;$B$6,1,0)</x:f>
        <x:v>0</x:v>
      </x:c>
      <x:c r="I2164" s="26" t="n">
        <x:f>H2164*IF(F2164=0,E2164*$B$7,-E2164*$B$8)</x:f>
        <x:v>0</x:v>
      </x:c>
    </x:row>
    <x:row r="2165">
      <x:c r="A2165" t="n">
        <x:v>2597</x:v>
      </x:c>
      <x:c r="B2165" t="str">
        <x:v>2024-12</x:v>
      </x:c>
      <x:c r="C2165" t="str">
        <x:v>Salaried</x:v>
      </x:c>
      <x:c r="D2165" t="str">
        <x:v>Group B</x:v>
      </x:c>
      <x:c r="E2165" s="26" t="n">
        <x:v>61852.24</x:v>
      </x:c>
      <x:c r="F2165" t="n">
        <x:v>0</x:v>
      </x:c>
      <x:c r="G2165" s="25" t="n">
        <x:v>0.732843</x:v>
      </x:c>
      <x:c r="H2165" t="n">
        <x:f>IF(G2165&lt;$B$6,1,0)</x:f>
        <x:v>0</x:v>
      </x:c>
      <x:c r="I2165" s="26" t="n">
        <x:f>H2165*IF(F2165=0,E2165*$B$7,-E2165*$B$8)</x:f>
        <x:v>0</x:v>
      </x:c>
    </x:row>
    <x:row r="2166">
      <x:c r="A2166" t="n">
        <x:v>2598</x:v>
      </x:c>
      <x:c r="B2166" t="str">
        <x:v>2024-12</x:v>
      </x:c>
      <x:c r="C2166" t="str">
        <x:v>Salaried</x:v>
      </x:c>
      <x:c r="D2166" t="str">
        <x:v>Group B</x:v>
      </x:c>
      <x:c r="E2166" s="26" t="n">
        <x:v>21115.5</x:v>
      </x:c>
      <x:c r="F2166" t="n">
        <x:v>0</x:v>
      </x:c>
      <x:c r="G2166" s="25" t="n">
        <x:v>0.062074</x:v>
      </x:c>
      <x:c r="H2166" t="n">
        <x:f>IF(G2166&lt;$B$6,1,0)</x:f>
        <x:v>1</x:v>
      </x:c>
      <x:c r="I2166" s="26" t="n">
        <x:f>H2166*IF(F2166=0,E2166*$B$7,-E2166*$B$8)</x:f>
        <x:v>2533.86</x:v>
      </x:c>
    </x:row>
    <x:row r="2167">
      <x:c r="A2167" t="n">
        <x:v>2610</x:v>
      </x:c>
      <x:c r="B2167" t="str">
        <x:v>2024-12</x:v>
      </x:c>
      <x:c r="C2167" t="str">
        <x:v>Contract</x:v>
      </x:c>
      <x:c r="D2167" t="str">
        <x:v>Group A</x:v>
      </x:c>
      <x:c r="E2167" s="26" t="n">
        <x:v>13521.6</x:v>
      </x:c>
      <x:c r="F2167" t="n">
        <x:v>0</x:v>
      </x:c>
      <x:c r="G2167" s="25" t="n">
        <x:v>0.317369</x:v>
      </x:c>
      <x:c r="H2167" t="n">
        <x:f>IF(G2167&lt;$B$6,1,0)</x:f>
        <x:v>0</x:v>
      </x:c>
      <x:c r="I2167" s="26" t="n">
        <x:f>H2167*IF(F2167=0,E2167*$B$7,-E2167*$B$8)</x:f>
        <x:v>0</x:v>
      </x:c>
    </x:row>
    <x:row r="2168">
      <x:c r="A2168" t="n">
        <x:v>2658</x:v>
      </x:c>
      <x:c r="B2168" t="str">
        <x:v>2024-12</x:v>
      </x:c>
      <x:c r="C2168" t="str">
        <x:v>Contract</x:v>
      </x:c>
      <x:c r="D2168" t="str">
        <x:v>Group B</x:v>
      </x:c>
      <x:c r="E2168" s="26" t="n">
        <x:v>19583.13</x:v>
      </x:c>
      <x:c r="F2168" t="n">
        <x:v>1</x:v>
      </x:c>
      <x:c r="G2168" s="25" t="n">
        <x:v>0.373373</x:v>
      </x:c>
      <x:c r="H2168" t="n">
        <x:f>IF(G2168&lt;$B$6,1,0)</x:f>
        <x:v>0</x:v>
      </x:c>
      <x:c r="I2168" s="26" t="n">
        <x:f>H2168*IF(F2168=0,E2168*$B$7,-E2168*$B$8)</x:f>
        <x:v>0</x:v>
      </x:c>
    </x:row>
    <x:row r="2169">
      <x:c r="A2169" t="n">
        <x:v>2690</x:v>
      </x:c>
      <x:c r="B2169" t="str">
        <x:v>2024-12</x:v>
      </x:c>
      <x:c r="C2169" t="str">
        <x:v>Salaried</x:v>
      </x:c>
      <x:c r="D2169" t="str">
        <x:v>Group B</x:v>
      </x:c>
      <x:c r="E2169" s="26" t="n">
        <x:v>12148.17</x:v>
      </x:c>
      <x:c r="F2169" t="n">
        <x:v>0</x:v>
      </x:c>
      <x:c r="G2169" s="25" t="n">
        <x:v>0.145801</x:v>
      </x:c>
      <x:c r="H2169" t="n">
        <x:f>IF(G2169&lt;$B$6,1,0)</x:f>
        <x:v>1</x:v>
      </x:c>
      <x:c r="I2169" s="26" t="n">
        <x:f>H2169*IF(F2169=0,E2169*$B$7,-E2169*$B$8)</x:f>
        <x:v>1457.7803999999999</x:v>
      </x:c>
    </x:row>
    <x:row r="2170">
      <x:c r="A2170" t="n">
        <x:v>2691</x:v>
      </x:c>
      <x:c r="B2170" t="str">
        <x:v>2024-12</x:v>
      </x:c>
      <x:c r="C2170" t="str">
        <x:v>Salaried</x:v>
      </x:c>
      <x:c r="D2170" t="str">
        <x:v>Group B</x:v>
      </x:c>
      <x:c r="E2170" s="26" t="n">
        <x:v>16207.59</x:v>
      </x:c>
      <x:c r="F2170" t="n">
        <x:v>0</x:v>
      </x:c>
      <x:c r="G2170" s="25" t="n">
        <x:v>0.173573</x:v>
      </x:c>
      <x:c r="H2170" t="n">
        <x:f>IF(G2170&lt;$B$6,1,0)</x:f>
        <x:v>0</x:v>
      </x:c>
      <x:c r="I2170" s="26" t="n">
        <x:f>H2170*IF(F2170=0,E2170*$B$7,-E2170*$B$8)</x:f>
        <x:v>0</x:v>
      </x:c>
    </x:row>
    <x:row r="2171">
      <x:c r="A2171" t="n">
        <x:v>2732</x:v>
      </x:c>
      <x:c r="B2171" t="str">
        <x:v>2024-12</x:v>
      </x:c>
      <x:c r="C2171" t="str">
        <x:v>Salaried</x:v>
      </x:c>
      <x:c r="D2171" t="str">
        <x:v>Group A</x:v>
      </x:c>
      <x:c r="E2171" s="26" t="n">
        <x:v>21369.19</x:v>
      </x:c>
      <x:c r="F2171" t="n">
        <x:v>0</x:v>
      </x:c>
      <x:c r="G2171" s="25" t="n">
        <x:v>0.346995</x:v>
      </x:c>
      <x:c r="H2171" t="n">
        <x:f>IF(G2171&lt;$B$6,1,0)</x:f>
        <x:v>0</x:v>
      </x:c>
      <x:c r="I2171" s="26" t="n">
        <x:f>H2171*IF(F2171=0,E2171*$B$7,-E2171*$B$8)</x:f>
        <x:v>0</x:v>
      </x:c>
    </x:row>
    <x:row r="2172">
      <x:c r="A2172" t="n">
        <x:v>2735</x:v>
      </x:c>
      <x:c r="B2172" t="str">
        <x:v>2024-12</x:v>
      </x:c>
      <x:c r="C2172" t="str">
        <x:v>Salaried</x:v>
      </x:c>
      <x:c r="D2172" t="str">
        <x:v>Group A</x:v>
      </x:c>
      <x:c r="E2172" s="26" t="n">
        <x:v>16603.96</x:v>
      </x:c>
      <x:c r="F2172" t="n">
        <x:v>0</x:v>
      </x:c>
      <x:c r="G2172" s="25" t="n">
        <x:v>0.027776</x:v>
      </x:c>
      <x:c r="H2172" t="n">
        <x:f>IF(G2172&lt;$B$6,1,0)</x:f>
        <x:v>1</x:v>
      </x:c>
      <x:c r="I2172" s="26" t="n">
        <x:f>H2172*IF(F2172=0,E2172*$B$7,-E2172*$B$8)</x:f>
        <x:v>1992.4751999999999</x:v>
      </x:c>
    </x:row>
    <x:row r="2173">
      <x:c r="A2173" t="n">
        <x:v>2756</x:v>
      </x:c>
      <x:c r="B2173" t="str">
        <x:v>2024-12</x:v>
      </x:c>
      <x:c r="C2173" t="str">
        <x:v>Salaried</x:v>
      </x:c>
      <x:c r="D2173" t="str">
        <x:v>Group A</x:v>
      </x:c>
      <x:c r="E2173" s="26" t="n">
        <x:v>6154.86</x:v>
      </x:c>
      <x:c r="F2173" t="n">
        <x:v>0</x:v>
      </x:c>
      <x:c r="G2173" s="25" t="n">
        <x:v>0.391256</x:v>
      </x:c>
      <x:c r="H2173" t="n">
        <x:f>IF(G2173&lt;$B$6,1,0)</x:f>
        <x:v>0</x:v>
      </x:c>
      <x:c r="I2173" s="26" t="n">
        <x:f>H2173*IF(F2173=0,E2173*$B$7,-E2173*$B$8)</x:f>
        <x:v>0</x:v>
      </x:c>
    </x:row>
    <x:row r="2174">
      <x:c r="A2174" t="n">
        <x:v>2805</x:v>
      </x:c>
      <x:c r="B2174" t="str">
        <x:v>2024-12</x:v>
      </x:c>
      <x:c r="C2174" t="str">
        <x:v>Salaried</x:v>
      </x:c>
      <x:c r="D2174" t="str">
        <x:v>Group A</x:v>
      </x:c>
      <x:c r="E2174" s="26" t="n">
        <x:v>5235.42</x:v>
      </x:c>
      <x:c r="F2174" t="n">
        <x:v>0</x:v>
      </x:c>
      <x:c r="G2174" s="25" t="n">
        <x:v>0.442483</x:v>
      </x:c>
      <x:c r="H2174" t="n">
        <x:f>IF(G2174&lt;$B$6,1,0)</x:f>
        <x:v>0</x:v>
      </x:c>
      <x:c r="I2174" s="26" t="n">
        <x:f>H2174*IF(F2174=0,E2174*$B$7,-E2174*$B$8)</x:f>
        <x:v>0</x:v>
      </x:c>
    </x:row>
    <x:row r="2175">
      <x:c r="A2175" t="n">
        <x:v>2819</x:v>
      </x:c>
      <x:c r="B2175" t="str">
        <x:v>2024-12</x:v>
      </x:c>
      <x:c r="C2175" t="str">
        <x:v>Contract</x:v>
      </x:c>
      <x:c r="D2175" t="str">
        <x:v>Group A</x:v>
      </x:c>
      <x:c r="E2175" s="26" t="n">
        <x:v>11345.6</x:v>
      </x:c>
      <x:c r="F2175" t="n">
        <x:v>0</x:v>
      </x:c>
      <x:c r="G2175" s="25" t="n">
        <x:v>0.147317</x:v>
      </x:c>
      <x:c r="H2175" t="n">
        <x:f>IF(G2175&lt;$B$6,1,0)</x:f>
        <x:v>1</x:v>
      </x:c>
      <x:c r="I2175" s="26" t="n">
        <x:f>H2175*IF(F2175=0,E2175*$B$7,-E2175*$B$8)</x:f>
        <x:v>1361.472</x:v>
      </x:c>
    </x:row>
    <x:row r="2176">
      <x:c r="A2176" t="n">
        <x:v>2835</x:v>
      </x:c>
      <x:c r="B2176" t="str">
        <x:v>2024-12</x:v>
      </x:c>
      <x:c r="C2176" t="str">
        <x:v>Self employed</x:v>
      </x:c>
      <x:c r="D2176" t="str">
        <x:v>Group A</x:v>
      </x:c>
      <x:c r="E2176" s="26" t="n">
        <x:v>10862.3</x:v>
      </x:c>
      <x:c r="F2176" t="n">
        <x:v>1</x:v>
      </x:c>
      <x:c r="G2176" s="25" t="n">
        <x:v>0.137324</x:v>
      </x:c>
      <x:c r="H2176" t="n">
        <x:f>IF(G2176&lt;$B$6,1,0)</x:f>
        <x:v>1</x:v>
      </x:c>
      <x:c r="I2176" s="26" t="n">
        <x:f>H2176*IF(F2176=0,E2176*$B$7,-E2176*$B$8)</x:f>
        <x:v>-7060.495</x:v>
      </x:c>
    </x:row>
    <x:row r="2177">
      <x:c r="A2177" t="n">
        <x:v>2920</x:v>
      </x:c>
      <x:c r="B2177" t="str">
        <x:v>2024-12</x:v>
      </x:c>
      <x:c r="C2177" t="str">
        <x:v>Salaried</x:v>
      </x:c>
      <x:c r="D2177" t="str">
        <x:v>Group B</x:v>
      </x:c>
      <x:c r="E2177" s="26" t="n">
        <x:v>15017.36</x:v>
      </x:c>
      <x:c r="F2177" t="n">
        <x:v>1</x:v>
      </x:c>
      <x:c r="G2177" s="25" t="n">
        <x:v>0.051338</x:v>
      </x:c>
      <x:c r="H2177" t="n">
        <x:f>IF(G2177&lt;$B$6,1,0)</x:f>
        <x:v>1</x:v>
      </x:c>
      <x:c r="I2177" s="26" t="n">
        <x:f>H2177*IF(F2177=0,E2177*$B$7,-E2177*$B$8)</x:f>
        <x:v>-9761.284000000001</x:v>
      </x:c>
    </x:row>
    <x:row r="2178">
      <x:c r="A2178" t="n">
        <x:v>2949</x:v>
      </x:c>
      <x:c r="B2178" t="str">
        <x:v>2024-12</x:v>
      </x:c>
      <x:c r="C2178" t="str">
        <x:v>Self employed</x:v>
      </x:c>
      <x:c r="D2178" t="str">
        <x:v>Group A</x:v>
      </x:c>
      <x:c r="E2178" s="26" t="n">
        <x:v>11462.5</x:v>
      </x:c>
      <x:c r="F2178" t="n">
        <x:v>0</x:v>
      </x:c>
      <x:c r="G2178" s="25" t="n">
        <x:v>0.259821</x:v>
      </x:c>
      <x:c r="H2178" t="n">
        <x:f>IF(G2178&lt;$B$6,1,0)</x:f>
        <x:v>0</x:v>
      </x:c>
      <x:c r="I2178" s="26" t="n">
        <x:f>H2178*IF(F2178=0,E2178*$B$7,-E2178*$B$8)</x:f>
        <x:v>0</x:v>
      </x:c>
    </x:row>
    <x:row r="2179">
      <x:c r="A2179" t="n">
        <x:v>2955</x:v>
      </x:c>
      <x:c r="B2179" t="str">
        <x:v>2024-12</x:v>
      </x:c>
      <x:c r="C2179" t="str">
        <x:v>Salaried</x:v>
      </x:c>
      <x:c r="D2179" t="str">
        <x:v>Group B</x:v>
      </x:c>
      <x:c r="E2179" s="26" t="n">
        <x:v>3421.41</x:v>
      </x:c>
      <x:c r="F2179" t="n">
        <x:v>0</x:v>
      </x:c>
      <x:c r="G2179" s="25" t="n">
        <x:v>0.192513</x:v>
      </x:c>
      <x:c r="H2179" t="n">
        <x:f>IF(G2179&lt;$B$6,1,0)</x:f>
        <x:v>0</x:v>
      </x:c>
      <x:c r="I2179" s="26" t="n">
        <x:f>H2179*IF(F2179=0,E2179*$B$7,-E2179*$B$8)</x:f>
        <x:v>0</x:v>
      </x:c>
    </x:row>
    <x:row r="2180">
      <x:c r="A2180" t="n">
        <x:v>2990</x:v>
      </x:c>
      <x:c r="B2180" t="str">
        <x:v>2024-12</x:v>
      </x:c>
      <x:c r="C2180" t="str">
        <x:v>Contract</x:v>
      </x:c>
      <x:c r="D2180" t="str">
        <x:v>Group A</x:v>
      </x:c>
      <x:c r="E2180" s="26" t="n">
        <x:v>34068.12</x:v>
      </x:c>
      <x:c r="F2180" t="n">
        <x:v>1</x:v>
      </x:c>
      <x:c r="G2180" s="25" t="n">
        <x:v>0.304212</x:v>
      </x:c>
      <x:c r="H2180" t="n">
        <x:f>IF(G2180&lt;$B$6,1,0)</x:f>
        <x:v>0</x:v>
      </x:c>
      <x:c r="I2180" s="26" t="n">
        <x:f>H2180*IF(F2180=0,E2180*$B$7,-E2180*$B$8)</x:f>
        <x:v>0</x:v>
      </x:c>
    </x:row>
    <x:row r="2181">
      <x:c r="A2181" t="n">
        <x:v>2998</x:v>
      </x:c>
      <x:c r="B2181" t="str">
        <x:v>2024-12</x:v>
      </x:c>
      <x:c r="C2181" t="str">
        <x:v>Self employed</x:v>
      </x:c>
      <x:c r="D2181" t="str">
        <x:v>Group B</x:v>
      </x:c>
      <x:c r="E2181" s="26" t="n">
        <x:v>10453.18</x:v>
      </x:c>
      <x:c r="F2181" t="n">
        <x:v>0</x:v>
      </x:c>
      <x:c r="G2181" s="25" t="n">
        <x:v>0.19303</x:v>
      </x:c>
      <x:c r="H2181" t="n">
        <x:f>IF(G2181&lt;$B$6,1,0)</x:f>
        <x:v>0</x:v>
      </x:c>
      <x:c r="I2181" s="26" t="n">
        <x:f>H2181*IF(F2181=0,E2181*$B$7,-E2181*$B$8)</x:f>
        <x:v>0</x:v>
      </x:c>
    </x:row>
    <x:row r="2182">
      <x:c r="A2182" t="n">
        <x:v>3002</x:v>
      </x:c>
      <x:c r="B2182" t="str">
        <x:v>2024-12</x:v>
      </x:c>
      <x:c r="C2182" t="str">
        <x:v>Self employed</x:v>
      </x:c>
      <x:c r="D2182" t="str">
        <x:v>Group A</x:v>
      </x:c>
      <x:c r="E2182" s="26" t="n">
        <x:v>17713.87</x:v>
      </x:c>
      <x:c r="F2182" t="n">
        <x:v>1</x:v>
      </x:c>
      <x:c r="G2182" s="25" t="n">
        <x:v>0.34448</x:v>
      </x:c>
      <x:c r="H2182" t="n">
        <x:f>IF(G2182&lt;$B$6,1,0)</x:f>
        <x:v>0</x:v>
      </x:c>
      <x:c r="I2182" s="26" t="n">
        <x:f>H2182*IF(F2182=0,E2182*$B$7,-E2182*$B$8)</x:f>
        <x:v>0</x:v>
      </x:c>
    </x:row>
    <x:row r="2183">
      <x:c r="A2183" t="n">
        <x:v>3004</x:v>
      </x:c>
      <x:c r="B2183" t="str">
        <x:v>2024-12</x:v>
      </x:c>
      <x:c r="C2183" t="str">
        <x:v>Self employed</x:v>
      </x:c>
      <x:c r="D2183" t="str">
        <x:v>Group A</x:v>
      </x:c>
      <x:c r="E2183" s="26" t="n">
        <x:v>12671.04</x:v>
      </x:c>
      <x:c r="F2183" t="n">
        <x:v>0</x:v>
      </x:c>
      <x:c r="G2183" s="25" t="n">
        <x:v>0.457645</x:v>
      </x:c>
      <x:c r="H2183" t="n">
        <x:f>IF(G2183&lt;$B$6,1,0)</x:f>
        <x:v>0</x:v>
      </x:c>
      <x:c r="I2183" s="26" t="n">
        <x:f>H2183*IF(F2183=0,E2183*$B$7,-E2183*$B$8)</x:f>
        <x:v>0</x:v>
      </x:c>
    </x:row>
    <x:row r="2184">
      <x:c r="A2184" t="n">
        <x:v>3023</x:v>
      </x:c>
      <x:c r="B2184" t="str">
        <x:v>2024-12</x:v>
      </x:c>
      <x:c r="C2184" t="str">
        <x:v>Salaried</x:v>
      </x:c>
      <x:c r="D2184" t="str">
        <x:v>Group B</x:v>
      </x:c>
      <x:c r="E2184" s="26" t="n">
        <x:v>19433.44</x:v>
      </x:c>
      <x:c r="F2184" t="n">
        <x:v>0</x:v>
      </x:c>
      <x:c r="G2184" s="25" t="n">
        <x:v>0.332216</x:v>
      </x:c>
      <x:c r="H2184" t="n">
        <x:f>IF(G2184&lt;$B$6,1,0)</x:f>
        <x:v>0</x:v>
      </x:c>
      <x:c r="I2184" s="26" t="n">
        <x:f>H2184*IF(F2184=0,E2184*$B$7,-E2184*$B$8)</x:f>
        <x:v>0</x:v>
      </x:c>
    </x:row>
    <x:row r="2185">
      <x:c r="A2185" t="n">
        <x:v>3056</x:v>
      </x:c>
      <x:c r="B2185" t="str">
        <x:v>2024-12</x:v>
      </x:c>
      <x:c r="C2185" t="str">
        <x:v>Salaried</x:v>
      </x:c>
      <x:c r="D2185" t="str">
        <x:v>Group B</x:v>
      </x:c>
      <x:c r="E2185" s="26" t="n">
        <x:v>29350.55</x:v>
      </x:c>
      <x:c r="F2185" t="n">
        <x:v>0</x:v>
      </x:c>
      <x:c r="G2185" s="25" t="n">
        <x:v>0.098002</x:v>
      </x:c>
      <x:c r="H2185" t="n">
        <x:f>IF(G2185&lt;$B$6,1,0)</x:f>
        <x:v>1</x:v>
      </x:c>
      <x:c r="I2185" s="26" t="n">
        <x:f>H2185*IF(F2185=0,E2185*$B$7,-E2185*$B$8)</x:f>
        <x:v>3522.066</x:v>
      </x:c>
    </x:row>
    <x:row r="2186">
      <x:c r="A2186" t="n">
        <x:v>3064</x:v>
      </x:c>
      <x:c r="B2186" t="str">
        <x:v>2024-12</x:v>
      </x:c>
      <x:c r="C2186" t="str">
        <x:v>Contract</x:v>
      </x:c>
      <x:c r="D2186" t="str">
        <x:v>Group B</x:v>
      </x:c>
      <x:c r="E2186" s="26" t="n">
        <x:v>10141.44</x:v>
      </x:c>
      <x:c r="F2186" t="n">
        <x:v>0</x:v>
      </x:c>
      <x:c r="G2186" s="25" t="n">
        <x:v>0.101376</x:v>
      </x:c>
      <x:c r="H2186" t="n">
        <x:f>IF(G2186&lt;$B$6,1,0)</x:f>
        <x:v>1</x:v>
      </x:c>
      <x:c r="I2186" s="26" t="n">
        <x:f>H2186*IF(F2186=0,E2186*$B$7,-E2186*$B$8)</x:f>
        <x:v>1216.9728</x:v>
      </x:c>
    </x:row>
    <x:row r="2187">
      <x:c r="A2187" t="n">
        <x:v>3067</x:v>
      </x:c>
      <x:c r="B2187" t="str">
        <x:v>2024-12</x:v>
      </x:c>
      <x:c r="C2187" t="str">
        <x:v>Self employed</x:v>
      </x:c>
      <x:c r="D2187" t="str">
        <x:v>Group A</x:v>
      </x:c>
      <x:c r="E2187" s="26" t="n">
        <x:v>41298.77</x:v>
      </x:c>
      <x:c r="F2187" t="n">
        <x:v>1</x:v>
      </x:c>
      <x:c r="G2187" s="25" t="n">
        <x:v>0.710518</x:v>
      </x:c>
      <x:c r="H2187" t="n">
        <x:f>IF(G2187&lt;$B$6,1,0)</x:f>
        <x:v>0</x:v>
      </x:c>
      <x:c r="I2187" s="26" t="n">
        <x:f>H2187*IF(F2187=0,E2187*$B$7,-E2187*$B$8)</x:f>
        <x:v>0</x:v>
      </x:c>
    </x:row>
    <x:row r="2188">
      <x:c r="A2188" t="n">
        <x:v>3087</x:v>
      </x:c>
      <x:c r="B2188" t="str">
        <x:v>2024-12</x:v>
      </x:c>
      <x:c r="C2188" t="str">
        <x:v>Salaried</x:v>
      </x:c>
      <x:c r="D2188" t="str">
        <x:v>Group B</x:v>
      </x:c>
      <x:c r="E2188" s="26" t="n">
        <x:v>10021.4</x:v>
      </x:c>
      <x:c r="F2188" t="n">
        <x:v>0</x:v>
      </x:c>
      <x:c r="G2188" s="25" t="n">
        <x:v>0.060871</x:v>
      </x:c>
      <x:c r="H2188" t="n">
        <x:f>IF(G2188&lt;$B$6,1,0)</x:f>
        <x:v>1</x:v>
      </x:c>
      <x:c r="I2188" s="26" t="n">
        <x:f>H2188*IF(F2188=0,E2188*$B$7,-E2188*$B$8)</x:f>
        <x:v>1202.568</x:v>
      </x:c>
    </x:row>
    <x:row r="2189">
      <x:c r="A2189" t="n">
        <x:v>3125</x:v>
      </x:c>
      <x:c r="B2189" t="str">
        <x:v>2024-12</x:v>
      </x:c>
      <x:c r="C2189" t="str">
        <x:v>Salaried</x:v>
      </x:c>
      <x:c r="D2189" t="str">
        <x:v>Group B</x:v>
      </x:c>
      <x:c r="E2189" s="26" t="n">
        <x:v>16733.65</x:v>
      </x:c>
      <x:c r="F2189" t="n">
        <x:v>0</x:v>
      </x:c>
      <x:c r="G2189" s="25" t="n">
        <x:v>0.239771</x:v>
      </x:c>
      <x:c r="H2189" t="n">
        <x:f>IF(G2189&lt;$B$6,1,0)</x:f>
        <x:v>0</x:v>
      </x:c>
      <x:c r="I2189" s="26" t="n">
        <x:f>H2189*IF(F2189=0,E2189*$B$7,-E2189*$B$8)</x:f>
        <x:v>0</x:v>
      </x:c>
    </x:row>
    <x:row r="2190">
      <x:c r="A2190" t="n">
        <x:v>3142</x:v>
      </x:c>
      <x:c r="B2190" t="str">
        <x:v>2024-12</x:v>
      </x:c>
      <x:c r="C2190" t="str">
        <x:v>Salaried</x:v>
      </x:c>
      <x:c r="D2190" t="str">
        <x:v>Group B</x:v>
      </x:c>
      <x:c r="E2190" s="26" t="n">
        <x:v>12196.43</x:v>
      </x:c>
      <x:c r="F2190" t="n">
        <x:v>1</x:v>
      </x:c>
      <x:c r="G2190" s="25" t="n">
        <x:v>0.316401</x:v>
      </x:c>
      <x:c r="H2190" t="n">
        <x:f>IF(G2190&lt;$B$6,1,0)</x:f>
        <x:v>0</x:v>
      </x:c>
      <x:c r="I2190" s="26" t="n">
        <x:f>H2190*IF(F2190=0,E2190*$B$7,-E2190*$B$8)</x:f>
        <x:v>0</x:v>
      </x:c>
    </x:row>
    <x:row r="2191">
      <x:c r="A2191" t="n">
        <x:v>3145</x:v>
      </x:c>
      <x:c r="B2191" t="str">
        <x:v>2024-12</x:v>
      </x:c>
      <x:c r="C2191" t="str">
        <x:v>Salaried</x:v>
      </x:c>
      <x:c r="D2191" t="str">
        <x:v>Group B</x:v>
      </x:c>
      <x:c r="E2191" s="26" t="n">
        <x:v>44369</x:v>
      </x:c>
      <x:c r="F2191" t="n">
        <x:v>0</x:v>
      </x:c>
      <x:c r="G2191" s="25" t="n">
        <x:v>0.19452</x:v>
      </x:c>
      <x:c r="H2191" t="n">
        <x:f>IF(G2191&lt;$B$6,1,0)</x:f>
        <x:v>0</x:v>
      </x:c>
      <x:c r="I2191" s="26" t="n">
        <x:f>H2191*IF(F2191=0,E2191*$B$7,-E2191*$B$8)</x:f>
        <x:v>0</x:v>
      </x:c>
    </x:row>
    <x:row r="2192">
      <x:c r="A2192" t="n">
        <x:v>3168</x:v>
      </x:c>
      <x:c r="B2192" t="str">
        <x:v>2024-12</x:v>
      </x:c>
      <x:c r="C2192" t="str">
        <x:v>Salaried</x:v>
      </x:c>
      <x:c r="D2192" t="str">
        <x:v>Group A</x:v>
      </x:c>
      <x:c r="E2192" s="26" t="n">
        <x:v>16318.57</x:v>
      </x:c>
      <x:c r="F2192" t="n">
        <x:v>0</x:v>
      </x:c>
      <x:c r="G2192" s="25" t="n">
        <x:v>0.453152</x:v>
      </x:c>
      <x:c r="H2192" t="n">
        <x:f>IF(G2192&lt;$B$6,1,0)</x:f>
        <x:v>0</x:v>
      </x:c>
      <x:c r="I2192" s="26" t="n">
        <x:f>H2192*IF(F2192=0,E2192*$B$7,-E2192*$B$8)</x:f>
        <x:v>0</x:v>
      </x:c>
    </x:row>
    <x:row r="2193">
      <x:c r="A2193" t="n">
        <x:v>3244</x:v>
      </x:c>
      <x:c r="B2193" t="str">
        <x:v>2024-12</x:v>
      </x:c>
      <x:c r="C2193" t="str">
        <x:v>Self employed</x:v>
      </x:c>
      <x:c r="D2193" t="str">
        <x:v>Group B</x:v>
      </x:c>
      <x:c r="E2193" s="26" t="n">
        <x:v>8847.35</x:v>
      </x:c>
      <x:c r="F2193" t="n">
        <x:v>1</x:v>
      </x:c>
      <x:c r="G2193" s="25" t="n">
        <x:v>0.493363</x:v>
      </x:c>
      <x:c r="H2193" t="n">
        <x:f>IF(G2193&lt;$B$6,1,0)</x:f>
        <x:v>0</x:v>
      </x:c>
      <x:c r="I2193" s="26" t="n">
        <x:f>H2193*IF(F2193=0,E2193*$B$7,-E2193*$B$8)</x:f>
        <x:v>0</x:v>
      </x:c>
    </x:row>
    <x:row r="2194">
      <x:c r="A2194" t="n">
        <x:v>3277</x:v>
      </x:c>
      <x:c r="B2194" t="str">
        <x:v>2024-12</x:v>
      </x:c>
      <x:c r="C2194" t="str">
        <x:v>Self employed</x:v>
      </x:c>
      <x:c r="D2194" t="str">
        <x:v>Group A</x:v>
      </x:c>
      <x:c r="E2194" s="26" t="n">
        <x:v>42822.37</x:v>
      </x:c>
      <x:c r="F2194" t="n">
        <x:v>0</x:v>
      </x:c>
      <x:c r="G2194" s="25" t="n">
        <x:v>0.11481</x:v>
      </x:c>
      <x:c r="H2194" t="n">
        <x:f>IF(G2194&lt;$B$6,1,0)</x:f>
        <x:v>1</x:v>
      </x:c>
      <x:c r="I2194" s="26" t="n">
        <x:f>H2194*IF(F2194=0,E2194*$B$7,-E2194*$B$8)</x:f>
        <x:v>5138.6844</x:v>
      </x:c>
    </x:row>
    <x:row r="2195">
      <x:c r="A2195" t="n">
        <x:v>3296</x:v>
      </x:c>
      <x:c r="B2195" t="str">
        <x:v>2024-12</x:v>
      </x:c>
      <x:c r="C2195" t="str">
        <x:v>Salaried</x:v>
      </x:c>
      <x:c r="D2195" t="str">
        <x:v>Group A</x:v>
      </x:c>
      <x:c r="E2195" s="26" t="n">
        <x:v>26281.11</x:v>
      </x:c>
      <x:c r="F2195" t="n">
        <x:v>1</x:v>
      </x:c>
      <x:c r="G2195" s="25" t="n">
        <x:v>0.295102</x:v>
      </x:c>
      <x:c r="H2195" t="n">
        <x:f>IF(G2195&lt;$B$6,1,0)</x:f>
        <x:v>0</x:v>
      </x:c>
      <x:c r="I2195" s="26" t="n">
        <x:f>H2195*IF(F2195=0,E2195*$B$7,-E2195*$B$8)</x:f>
        <x:v>0</x:v>
      </x:c>
    </x:row>
    <x:row r="2196">
      <x:c r="A2196" t="n">
        <x:v>3308</x:v>
      </x:c>
      <x:c r="B2196" t="str">
        <x:v>2024-12</x:v>
      </x:c>
      <x:c r="C2196" t="str">
        <x:v>Self employed</x:v>
      </x:c>
      <x:c r="D2196" t="str">
        <x:v>Group B</x:v>
      </x:c>
      <x:c r="E2196" s="26" t="n">
        <x:v>64336.37</x:v>
      </x:c>
      <x:c r="F2196" t="n">
        <x:v>1</x:v>
      </x:c>
      <x:c r="G2196" s="25" t="n">
        <x:v>0.405214</x:v>
      </x:c>
      <x:c r="H2196" t="n">
        <x:f>IF(G2196&lt;$B$6,1,0)</x:f>
        <x:v>0</x:v>
      </x:c>
      <x:c r="I2196" s="26" t="n">
        <x:f>H2196*IF(F2196=0,E2196*$B$7,-E2196*$B$8)</x:f>
        <x:v>0</x:v>
      </x:c>
    </x:row>
    <x:row r="2197">
      <x:c r="A2197" t="n">
        <x:v>3327</x:v>
      </x:c>
      <x:c r="B2197" t="str">
        <x:v>2024-12</x:v>
      </x:c>
      <x:c r="C2197" t="str">
        <x:v>Salaried</x:v>
      </x:c>
      <x:c r="D2197" t="str">
        <x:v>Group A</x:v>
      </x:c>
      <x:c r="E2197" s="26" t="n">
        <x:v>12528.6</x:v>
      </x:c>
      <x:c r="F2197" t="n">
        <x:v>0</x:v>
      </x:c>
      <x:c r="G2197" s="25" t="n">
        <x:v>0.155135</x:v>
      </x:c>
      <x:c r="H2197" t="n">
        <x:f>IF(G2197&lt;$B$6,1,0)</x:f>
        <x:v>1</x:v>
      </x:c>
      <x:c r="I2197" s="26" t="n">
        <x:f>H2197*IF(F2197=0,E2197*$B$7,-E2197*$B$8)</x:f>
        <x:v>1503.432</x:v>
      </x:c>
    </x:row>
    <x:row r="2198">
      <x:c r="A2198" t="n">
        <x:v>3342</x:v>
      </x:c>
      <x:c r="B2198" t="str">
        <x:v>2024-12</x:v>
      </x:c>
      <x:c r="C2198" t="str">
        <x:v>Salaried</x:v>
      </x:c>
      <x:c r="D2198" t="str">
        <x:v>Group B</x:v>
      </x:c>
      <x:c r="E2198" s="26" t="n">
        <x:v>14882.53</x:v>
      </x:c>
      <x:c r="F2198" t="n">
        <x:v>1</x:v>
      </x:c>
      <x:c r="G2198" s="25" t="n">
        <x:v>0.236413</x:v>
      </x:c>
      <x:c r="H2198" t="n">
        <x:f>IF(G2198&lt;$B$6,1,0)</x:f>
        <x:v>0</x:v>
      </x:c>
      <x:c r="I2198" s="26" t="n">
        <x:f>H2198*IF(F2198=0,E2198*$B$7,-E2198*$B$8)</x:f>
        <x:v>0</x:v>
      </x:c>
    </x:row>
    <x:row r="2199">
      <x:c r="A2199" t="n">
        <x:v>3365</x:v>
      </x:c>
      <x:c r="B2199" t="str">
        <x:v>2024-12</x:v>
      </x:c>
      <x:c r="C2199" t="str">
        <x:v>Self employed</x:v>
      </x:c>
      <x:c r="D2199" t="str">
        <x:v>Group B</x:v>
      </x:c>
      <x:c r="E2199" s="26" t="n">
        <x:v>14419.12</x:v>
      </x:c>
      <x:c r="F2199" t="n">
        <x:v>0</x:v>
      </x:c>
      <x:c r="G2199" s="25" t="n">
        <x:v>0.133661</x:v>
      </x:c>
      <x:c r="H2199" t="n">
        <x:f>IF(G2199&lt;$B$6,1,0)</x:f>
        <x:v>1</x:v>
      </x:c>
      <x:c r="I2199" s="26" t="n">
        <x:f>H2199*IF(F2199=0,E2199*$B$7,-E2199*$B$8)</x:f>
        <x:v>1730.2944</x:v>
      </x:c>
    </x:row>
    <x:row r="2200">
      <x:c r="A2200" t="n">
        <x:v>3430</x:v>
      </x:c>
      <x:c r="B2200" t="str">
        <x:v>2024-12</x:v>
      </x:c>
      <x:c r="C2200" t="str">
        <x:v>Salaried</x:v>
      </x:c>
      <x:c r="D2200" t="str">
        <x:v>Group A</x:v>
      </x:c>
      <x:c r="E2200" s="26" t="n">
        <x:v>5710.95</x:v>
      </x:c>
      <x:c r="F2200" t="n">
        <x:v>0</x:v>
      </x:c>
      <x:c r="G2200" s="25" t="n">
        <x:v>0.411416</x:v>
      </x:c>
      <x:c r="H2200" t="n">
        <x:f>IF(G2200&lt;$B$6,1,0)</x:f>
        <x:v>0</x:v>
      </x:c>
      <x:c r="I2200" s="26" t="n">
        <x:f>H2200*IF(F2200=0,E2200*$B$7,-E2200*$B$8)</x:f>
        <x:v>0</x:v>
      </x:c>
    </x:row>
    <x:row r="2201">
      <x:c r="A2201" t="n">
        <x:v>3431</x:v>
      </x:c>
      <x:c r="B2201" t="str">
        <x:v>2024-12</x:v>
      </x:c>
      <x:c r="C2201" t="str">
        <x:v>Self employed</x:v>
      </x:c>
      <x:c r="D2201" t="str">
        <x:v>Group A</x:v>
      </x:c>
      <x:c r="E2201" s="26" t="n">
        <x:v>8659.78</x:v>
      </x:c>
      <x:c r="F2201" t="n">
        <x:v>0</x:v>
      </x:c>
      <x:c r="G2201" s="25" t="n">
        <x:v>0.138375</x:v>
      </x:c>
      <x:c r="H2201" t="n">
        <x:f>IF(G2201&lt;$B$6,1,0)</x:f>
        <x:v>1</x:v>
      </x:c>
      <x:c r="I2201" s="26" t="n">
        <x:f>H2201*IF(F2201=0,E2201*$B$7,-E2201*$B$8)</x:f>
        <x:v>1039.1736</x:v>
      </x:c>
    </x:row>
    <x:row r="2202">
      <x:c r="A2202" t="n">
        <x:v>3493</x:v>
      </x:c>
      <x:c r="B2202" t="str">
        <x:v>2024-12</x:v>
      </x:c>
      <x:c r="C2202" t="str">
        <x:v>Salaried</x:v>
      </x:c>
      <x:c r="D2202" t="str">
        <x:v>Group B</x:v>
      </x:c>
      <x:c r="E2202" s="26" t="n">
        <x:v>20640.73</x:v>
      </x:c>
      <x:c r="F2202" t="n">
        <x:v>1</x:v>
      </x:c>
      <x:c r="G2202" s="25" t="n">
        <x:v>0.378214</x:v>
      </x:c>
      <x:c r="H2202" t="n">
        <x:f>IF(G2202&lt;$B$6,1,0)</x:f>
        <x:v>0</x:v>
      </x:c>
      <x:c r="I2202" s="26" t="n">
        <x:f>H2202*IF(F2202=0,E2202*$B$7,-E2202*$B$8)</x:f>
        <x:v>0</x:v>
      </x:c>
    </x:row>
    <x:row r="2203">
      <x:c r="A2203" t="n">
        <x:v>3530</x:v>
      </x:c>
      <x:c r="B2203" t="str">
        <x:v>2024-12</x:v>
      </x:c>
      <x:c r="C2203" t="str">
        <x:v>Self employed</x:v>
      </x:c>
      <x:c r="D2203" t="str">
        <x:v>Group A</x:v>
      </x:c>
      <x:c r="E2203" s="26" t="n">
        <x:v>37563.36</x:v>
      </x:c>
      <x:c r="F2203" t="n">
        <x:v>0</x:v>
      </x:c>
      <x:c r="G2203" s="25" t="n">
        <x:v>0.744356</x:v>
      </x:c>
      <x:c r="H2203" t="n">
        <x:f>IF(G2203&lt;$B$6,1,0)</x:f>
        <x:v>0</x:v>
      </x:c>
      <x:c r="I2203" s="26" t="n">
        <x:f>H2203*IF(F2203=0,E2203*$B$7,-E2203*$B$8)</x:f>
        <x:v>0</x:v>
      </x:c>
    </x:row>
    <x:row r="2204">
      <x:c r="A2204" t="n">
        <x:v>3535</x:v>
      </x:c>
      <x:c r="B2204" t="str">
        <x:v>2024-12</x:v>
      </x:c>
      <x:c r="C2204" t="str">
        <x:v>Salaried</x:v>
      </x:c>
      <x:c r="D2204" t="str">
        <x:v>Group A</x:v>
      </x:c>
      <x:c r="E2204" s="26" t="n">
        <x:v>19829.79</x:v>
      </x:c>
      <x:c r="F2204" t="n">
        <x:v>0</x:v>
      </x:c>
      <x:c r="G2204" s="25" t="n">
        <x:v>0.163695</x:v>
      </x:c>
      <x:c r="H2204" t="n">
        <x:f>IF(G2204&lt;$B$6,1,0)</x:f>
        <x:v>0</x:v>
      </x:c>
      <x:c r="I2204" s="26" t="n">
        <x:f>H2204*IF(F2204=0,E2204*$B$7,-E2204*$B$8)</x:f>
        <x:v>0</x:v>
      </x:c>
    </x:row>
    <x:row r="2205">
      <x:c r="A2205" t="n">
        <x:v>3563</x:v>
      </x:c>
      <x:c r="B2205" t="str">
        <x:v>2024-12</x:v>
      </x:c>
      <x:c r="C2205" t="str">
        <x:v>Self employed</x:v>
      </x:c>
      <x:c r="D2205" t="str">
        <x:v>Group A</x:v>
      </x:c>
      <x:c r="E2205" s="26" t="n">
        <x:v>7767</x:v>
      </x:c>
      <x:c r="F2205" t="n">
        <x:v>0</x:v>
      </x:c>
      <x:c r="G2205" s="25" t="n">
        <x:v>0.128921</x:v>
      </x:c>
      <x:c r="H2205" t="n">
        <x:f>IF(G2205&lt;$B$6,1,0)</x:f>
        <x:v>1</x:v>
      </x:c>
      <x:c r="I2205" s="26" t="n">
        <x:f>H2205*IF(F2205=0,E2205*$B$7,-E2205*$B$8)</x:f>
        <x:v>932.04</x:v>
      </x:c>
    </x:row>
    <x:row r="2206">
      <x:c r="A2206" t="n">
        <x:v>3578</x:v>
      </x:c>
      <x:c r="B2206" t="str">
        <x:v>2024-12</x:v>
      </x:c>
      <x:c r="C2206" t="str">
        <x:v>Contract</x:v>
      </x:c>
      <x:c r="D2206" t="str">
        <x:v>Group B</x:v>
      </x:c>
      <x:c r="E2206" s="26" t="n">
        <x:v>5568.92</x:v>
      </x:c>
      <x:c r="F2206" t="n">
        <x:v>0</x:v>
      </x:c>
      <x:c r="G2206" s="25" t="n">
        <x:v>0.148076</x:v>
      </x:c>
      <x:c r="H2206" t="n">
        <x:f>IF(G2206&lt;$B$6,1,0)</x:f>
        <x:v>1</x:v>
      </x:c>
      <x:c r="I2206" s="26" t="n">
        <x:f>H2206*IF(F2206=0,E2206*$B$7,-E2206*$B$8)</x:f>
        <x:v>668.2704</x:v>
      </x:c>
    </x:row>
    <x:row r="2207">
      <x:c r="A2207" t="n">
        <x:v>3602</x:v>
      </x:c>
      <x:c r="B2207" t="str">
        <x:v>2024-12</x:v>
      </x:c>
      <x:c r="C2207" t="str">
        <x:v>Contract</x:v>
      </x:c>
      <x:c r="D2207" t="str">
        <x:v>Group B</x:v>
      </x:c>
      <x:c r="E2207" s="26" t="n">
        <x:v>18772.5</x:v>
      </x:c>
      <x:c r="F2207" t="n">
        <x:v>0</x:v>
      </x:c>
      <x:c r="G2207" s="25" t="n">
        <x:v>0.231617</x:v>
      </x:c>
      <x:c r="H2207" t="n">
        <x:f>IF(G2207&lt;$B$6,1,0)</x:f>
        <x:v>0</x:v>
      </x:c>
      <x:c r="I2207" s="26" t="n">
        <x:f>H2207*IF(F2207=0,E2207*$B$7,-E2207*$B$8)</x:f>
        <x:v>0</x:v>
      </x:c>
    </x:row>
    <x:row r="2208">
      <x:c r="A2208" t="n">
        <x:v>3628</x:v>
      </x:c>
      <x:c r="B2208" t="str">
        <x:v>2024-12</x:v>
      </x:c>
      <x:c r="C2208" t="str">
        <x:v>Salaried</x:v>
      </x:c>
      <x:c r="D2208" t="str">
        <x:v>Group A</x:v>
      </x:c>
      <x:c r="E2208" s="26" t="n">
        <x:v>4136.08</x:v>
      </x:c>
      <x:c r="F2208" t="n">
        <x:v>0</x:v>
      </x:c>
      <x:c r="G2208" s="25" t="n">
        <x:v>0.093307</x:v>
      </x:c>
      <x:c r="H2208" t="n">
        <x:f>IF(G2208&lt;$B$6,1,0)</x:f>
        <x:v>1</x:v>
      </x:c>
      <x:c r="I2208" s="26" t="n">
        <x:f>H2208*IF(F2208=0,E2208*$B$7,-E2208*$B$8)</x:f>
        <x:v>496.32959999999997</x:v>
      </x:c>
    </x:row>
    <x:row r="2209">
      <x:c r="A2209" t="n">
        <x:v>3703</x:v>
      </x:c>
      <x:c r="B2209" t="str">
        <x:v>2024-12</x:v>
      </x:c>
      <x:c r="C2209" t="str">
        <x:v>Salaried</x:v>
      </x:c>
      <x:c r="D2209" t="str">
        <x:v>Group B</x:v>
      </x:c>
      <x:c r="E2209" s="26" t="n">
        <x:v>11391.61</x:v>
      </x:c>
      <x:c r="F2209" t="n">
        <x:v>0</x:v>
      </x:c>
      <x:c r="G2209" s="25" t="n">
        <x:v>0.430001</x:v>
      </x:c>
      <x:c r="H2209" t="n">
        <x:f>IF(G2209&lt;$B$6,1,0)</x:f>
        <x:v>0</x:v>
      </x:c>
      <x:c r="I2209" s="26" t="n">
        <x:f>H2209*IF(F2209=0,E2209*$B$7,-E2209*$B$8)</x:f>
        <x:v>0</x:v>
      </x:c>
    </x:row>
    <x:row r="2210">
      <x:c r="A2210" t="n">
        <x:v>3711</x:v>
      </x:c>
      <x:c r="B2210" t="str">
        <x:v>2024-12</x:v>
      </x:c>
      <x:c r="C2210" t="str">
        <x:v>Salaried</x:v>
      </x:c>
      <x:c r="D2210" t="str">
        <x:v>Group A</x:v>
      </x:c>
      <x:c r="E2210" s="26" t="n">
        <x:v>20328.66</x:v>
      </x:c>
      <x:c r="F2210" t="n">
        <x:v>0</x:v>
      </x:c>
      <x:c r="G2210" s="25" t="n">
        <x:v>0.157657</x:v>
      </x:c>
      <x:c r="H2210" t="n">
        <x:f>IF(G2210&lt;$B$6,1,0)</x:f>
        <x:v>1</x:v>
      </x:c>
      <x:c r="I2210" s="26" t="n">
        <x:f>H2210*IF(F2210=0,E2210*$B$7,-E2210*$B$8)</x:f>
        <x:v>2439.4392</x:v>
      </x:c>
    </x:row>
    <x:row r="2211">
      <x:c r="A2211" t="n">
        <x:v>3764</x:v>
      </x:c>
      <x:c r="B2211" t="str">
        <x:v>2024-12</x:v>
      </x:c>
      <x:c r="C2211" t="str">
        <x:v>Salaried</x:v>
      </x:c>
      <x:c r="D2211" t="str">
        <x:v>Group A</x:v>
      </x:c>
      <x:c r="E2211" s="26" t="n">
        <x:v>7903.35</x:v>
      </x:c>
      <x:c r="F2211" t="n">
        <x:v>0</x:v>
      </x:c>
      <x:c r="G2211" s="25" t="n">
        <x:v>0.158641</x:v>
      </x:c>
      <x:c r="H2211" t="n">
        <x:f>IF(G2211&lt;$B$6,1,0)</x:f>
        <x:v>1</x:v>
      </x:c>
      <x:c r="I2211" s="26" t="n">
        <x:f>H2211*IF(F2211=0,E2211*$B$7,-E2211*$B$8)</x:f>
        <x:v>948.402</x:v>
      </x:c>
    </x:row>
    <x:row r="2212">
      <x:c r="A2212" t="n">
        <x:v>3777</x:v>
      </x:c>
      <x:c r="B2212" t="str">
        <x:v>2024-12</x:v>
      </x:c>
      <x:c r="C2212" t="str">
        <x:v>Salaried</x:v>
      </x:c>
      <x:c r="D2212" t="str">
        <x:v>Group B</x:v>
      </x:c>
      <x:c r="E2212" s="26" t="n">
        <x:v>19087.46</x:v>
      </x:c>
      <x:c r="F2212" t="n">
        <x:v>0</x:v>
      </x:c>
      <x:c r="G2212" s="25" t="n">
        <x:v>0.267567</x:v>
      </x:c>
      <x:c r="H2212" t="n">
        <x:f>IF(G2212&lt;$B$6,1,0)</x:f>
        <x:v>0</x:v>
      </x:c>
      <x:c r="I2212" s="26" t="n">
        <x:f>H2212*IF(F2212=0,E2212*$B$7,-E2212*$B$8)</x:f>
        <x:v>0</x:v>
      </x:c>
    </x:row>
    <x:row r="2213">
      <x:c r="A2213" t="n">
        <x:v>3823</x:v>
      </x:c>
      <x:c r="B2213" t="str">
        <x:v>2024-12</x:v>
      </x:c>
      <x:c r="C2213" t="str">
        <x:v>Contract</x:v>
      </x:c>
      <x:c r="D2213" t="str">
        <x:v>Group A</x:v>
      </x:c>
      <x:c r="E2213" s="26" t="n">
        <x:v>7935.08</x:v>
      </x:c>
      <x:c r="F2213" t="n">
        <x:v>0</x:v>
      </x:c>
      <x:c r="G2213" s="25" t="n">
        <x:v>0.241035</x:v>
      </x:c>
      <x:c r="H2213" t="n">
        <x:f>IF(G2213&lt;$B$6,1,0)</x:f>
        <x:v>0</x:v>
      </x:c>
      <x:c r="I2213" s="26" t="n">
        <x:f>H2213*IF(F2213=0,E2213*$B$7,-E2213*$B$8)</x:f>
        <x:v>0</x:v>
      </x:c>
    </x:row>
    <x:row r="2214">
      <x:c r="A2214" t="n">
        <x:v>3834</x:v>
      </x:c>
      <x:c r="B2214" t="str">
        <x:v>2024-12</x:v>
      </x:c>
      <x:c r="C2214" t="str">
        <x:v>Salaried</x:v>
      </x:c>
      <x:c r="D2214" t="str">
        <x:v>Group A</x:v>
      </x:c>
      <x:c r="E2214" s="26" t="n">
        <x:v>10369.9</x:v>
      </x:c>
      <x:c r="F2214" t="n">
        <x:v>1</x:v>
      </x:c>
      <x:c r="G2214" s="25" t="n">
        <x:v>0.274094</x:v>
      </x:c>
      <x:c r="H2214" t="n">
        <x:f>IF(G2214&lt;$B$6,1,0)</x:f>
        <x:v>0</x:v>
      </x:c>
      <x:c r="I2214" s="26" t="n">
        <x:f>H2214*IF(F2214=0,E2214*$B$7,-E2214*$B$8)</x:f>
        <x:v>0</x:v>
      </x:c>
    </x:row>
    <x:row r="2215">
      <x:c r="A2215" t="n">
        <x:v>3881</x:v>
      </x:c>
      <x:c r="B2215" t="str">
        <x:v>2024-12</x:v>
      </x:c>
      <x:c r="C2215" t="str">
        <x:v>Self employed</x:v>
      </x:c>
      <x:c r="D2215" t="str">
        <x:v>Group B</x:v>
      </x:c>
      <x:c r="E2215" s="26" t="n">
        <x:v>11981.28</x:v>
      </x:c>
      <x:c r="F2215" t="n">
        <x:v>0</x:v>
      </x:c>
      <x:c r="G2215" s="25" t="n">
        <x:v>0.221593</x:v>
      </x:c>
      <x:c r="H2215" t="n">
        <x:f>IF(G2215&lt;$B$6,1,0)</x:f>
        <x:v>0</x:v>
      </x:c>
      <x:c r="I2215" s="26" t="n">
        <x:f>H2215*IF(F2215=0,E2215*$B$7,-E2215*$B$8)</x:f>
        <x:v>0</x:v>
      </x:c>
    </x:row>
    <x:row r="2216">
      <x:c r="A2216" t="n">
        <x:v>3897</x:v>
      </x:c>
      <x:c r="B2216" t="str">
        <x:v>2024-12</x:v>
      </x:c>
      <x:c r="C2216" t="str">
        <x:v>Contract</x:v>
      </x:c>
      <x:c r="D2216" t="str">
        <x:v>Group B</x:v>
      </x:c>
      <x:c r="E2216" s="26" t="n">
        <x:v>8015.39</x:v>
      </x:c>
      <x:c r="F2216" t="n">
        <x:v>1</x:v>
      </x:c>
      <x:c r="G2216" s="25" t="n">
        <x:v>0.209943</x:v>
      </x:c>
      <x:c r="H2216" t="n">
        <x:f>IF(G2216&lt;$B$6,1,0)</x:f>
        <x:v>0</x:v>
      </x:c>
      <x:c r="I2216" s="26" t="n">
        <x:f>H2216*IF(F2216=0,E2216*$B$7,-E2216*$B$8)</x:f>
        <x:v>0</x:v>
      </x:c>
    </x:row>
    <x:row r="2217">
      <x:c r="A2217" t="n">
        <x:v>3916</x:v>
      </x:c>
      <x:c r="B2217" t="str">
        <x:v>2024-12</x:v>
      </x:c>
      <x:c r="C2217" t="str">
        <x:v>Self employed</x:v>
      </x:c>
      <x:c r="D2217" t="str">
        <x:v>Group B</x:v>
      </x:c>
      <x:c r="E2217" s="26" t="n">
        <x:v>6798.23</x:v>
      </x:c>
      <x:c r="F2217" t="n">
        <x:v>0</x:v>
      </x:c>
      <x:c r="G2217" s="25" t="n">
        <x:v>0.033788</x:v>
      </x:c>
      <x:c r="H2217" t="n">
        <x:f>IF(G2217&lt;$B$6,1,0)</x:f>
        <x:v>1</x:v>
      </x:c>
      <x:c r="I2217" s="26" t="n">
        <x:f>H2217*IF(F2217=0,E2217*$B$7,-E2217*$B$8)</x:f>
        <x:v>815.7875999999999</x:v>
      </x:c>
    </x:row>
    <x:row r="2218">
      <x:c r="A2218" t="n">
        <x:v>3936</x:v>
      </x:c>
      <x:c r="B2218" t="str">
        <x:v>2024-12</x:v>
      </x:c>
      <x:c r="C2218" t="str">
        <x:v>Salaried</x:v>
      </x:c>
      <x:c r="D2218" t="str">
        <x:v>Group A</x:v>
      </x:c>
      <x:c r="E2218" s="26" t="n">
        <x:v>16199.25</x:v>
      </x:c>
      <x:c r="F2218" t="n">
        <x:v>0</x:v>
      </x:c>
      <x:c r="G2218" s="25" t="n">
        <x:v>0.630042</x:v>
      </x:c>
      <x:c r="H2218" t="n">
        <x:f>IF(G2218&lt;$B$6,1,0)</x:f>
        <x:v>0</x:v>
      </x:c>
      <x:c r="I2218" s="26" t="n">
        <x:f>H2218*IF(F2218=0,E2218*$B$7,-E2218*$B$8)</x:f>
        <x:v>0</x:v>
      </x:c>
    </x:row>
    <x:row r="2219">
      <x:c r="A2219" t="n">
        <x:v>3954</x:v>
      </x:c>
      <x:c r="B2219" t="str">
        <x:v>2024-12</x:v>
      </x:c>
      <x:c r="C2219" t="str">
        <x:v>Salaried</x:v>
      </x:c>
      <x:c r="D2219" t="str">
        <x:v>Group B</x:v>
      </x:c>
      <x:c r="E2219" s="26" t="n">
        <x:v>15393.25</x:v>
      </x:c>
      <x:c r="F2219" t="n">
        <x:v>0</x:v>
      </x:c>
      <x:c r="G2219" s="25" t="n">
        <x:v>0.360594</x:v>
      </x:c>
      <x:c r="H2219" t="n">
        <x:f>IF(G2219&lt;$B$6,1,0)</x:f>
        <x:v>0</x:v>
      </x:c>
      <x:c r="I2219" s="26" t="n">
        <x:f>H2219*IF(F2219=0,E2219*$B$7,-E2219*$B$8)</x:f>
        <x:v>0</x:v>
      </x:c>
    </x:row>
    <x:row r="2220">
      <x:c r="A2220" t="n">
        <x:v>3980</x:v>
      </x:c>
      <x:c r="B2220" t="str">
        <x:v>2024-12</x:v>
      </x:c>
      <x:c r="C2220" t="str">
        <x:v>Salaried</x:v>
      </x:c>
      <x:c r="D2220" t="str">
        <x:v>Group B</x:v>
      </x:c>
      <x:c r="E2220" s="26" t="n">
        <x:v>11422.22</x:v>
      </x:c>
      <x:c r="F2220" t="n">
        <x:v>0</x:v>
      </x:c>
      <x:c r="G2220" s="25" t="n">
        <x:v>0.17321</x:v>
      </x:c>
      <x:c r="H2220" t="n">
        <x:f>IF(G2220&lt;$B$6,1,0)</x:f>
        <x:v>0</x:v>
      </x:c>
      <x:c r="I2220" s="26" t="n">
        <x:f>H2220*IF(F2220=0,E2220*$B$7,-E2220*$B$8)</x:f>
        <x:v>0</x:v>
      </x:c>
    </x:row>
    <x:row r="2221">
      <x:c r="A2221" t="n">
        <x:v>3988</x:v>
      </x:c>
      <x:c r="B2221" t="str">
        <x:v>2024-12</x:v>
      </x:c>
      <x:c r="C2221" t="str">
        <x:v>Self employed</x:v>
      </x:c>
      <x:c r="D2221" t="str">
        <x:v>Group B</x:v>
      </x:c>
      <x:c r="E2221" s="26" t="n">
        <x:v>10476.89</x:v>
      </x:c>
      <x:c r="F2221" t="n">
        <x:v>0</x:v>
      </x:c>
      <x:c r="G2221" s="25" t="n">
        <x:v>0.127116</x:v>
      </x:c>
      <x:c r="H2221" t="n">
        <x:f>IF(G2221&lt;$B$6,1,0)</x:f>
        <x:v>1</x:v>
      </x:c>
      <x:c r="I2221" s="26" t="n">
        <x:f>H2221*IF(F2221=0,E2221*$B$7,-E2221*$B$8)</x:f>
        <x:v>1257.2268</x:v>
      </x:c>
    </x:row>
    <x:row r="2222">
      <x:c r="A2222" t="n">
        <x:v>3994</x:v>
      </x:c>
      <x:c r="B2222" t="str">
        <x:v>2024-12</x:v>
      </x:c>
      <x:c r="C2222" t="str">
        <x:v>Salaried</x:v>
      </x:c>
      <x:c r="D2222" t="str">
        <x:v>Group B</x:v>
      </x:c>
      <x:c r="E2222" s="26" t="n">
        <x:v>8774</x:v>
      </x:c>
      <x:c r="F2222" t="n">
        <x:v>0</x:v>
      </x:c>
      <x:c r="G2222" s="25" t="n">
        <x:v>0.311838</x:v>
      </x:c>
      <x:c r="H2222" t="n">
        <x:f>IF(G2222&lt;$B$6,1,0)</x:f>
        <x:v>0</x:v>
      </x:c>
      <x:c r="I2222" s="26" t="n">
        <x:f>H2222*IF(F2222=0,E2222*$B$7,-E2222*$B$8)</x:f>
        <x:v>0</x:v>
      </x:c>
    </x:row>
    <x:row r="2223">
      <x:c r="A2223" t="n">
        <x:v>4006</x:v>
      </x:c>
      <x:c r="B2223" t="str">
        <x:v>2024-12</x:v>
      </x:c>
      <x:c r="C2223" t="str">
        <x:v>Salaried</x:v>
      </x:c>
      <x:c r="D2223" t="str">
        <x:v>Group B</x:v>
      </x:c>
      <x:c r="E2223" s="26" t="n">
        <x:v>7143.84</x:v>
      </x:c>
      <x:c r="F2223" t="n">
        <x:v>0</x:v>
      </x:c>
      <x:c r="G2223" s="25" t="n">
        <x:v>0.097172</x:v>
      </x:c>
      <x:c r="H2223" t="n">
        <x:f>IF(G2223&lt;$B$6,1,0)</x:f>
        <x:v>1</x:v>
      </x:c>
      <x:c r="I2223" s="26" t="n">
        <x:f>H2223*IF(F2223=0,E2223*$B$7,-E2223*$B$8)</x:f>
        <x:v>857.2608</x:v>
      </x:c>
    </x:row>
    <x:row r="2224">
      <x:c r="A2224" t="n">
        <x:v>4030</x:v>
      </x:c>
      <x:c r="B2224" t="str">
        <x:v>2024-12</x:v>
      </x:c>
      <x:c r="C2224" t="str">
        <x:v>Contract</x:v>
      </x:c>
      <x:c r="D2224" t="str">
        <x:v>Group B</x:v>
      </x:c>
      <x:c r="E2224" s="26" t="n">
        <x:v>11097.78</x:v>
      </x:c>
      <x:c r="F2224" t="n">
        <x:v>1</x:v>
      </x:c>
      <x:c r="G2224" s="25" t="n">
        <x:v>0.443069</x:v>
      </x:c>
      <x:c r="H2224" t="n">
        <x:f>IF(G2224&lt;$B$6,1,0)</x:f>
        <x:v>0</x:v>
      </x:c>
      <x:c r="I2224" s="26" t="n">
        <x:f>H2224*IF(F2224=0,E2224*$B$7,-E2224*$B$8)</x:f>
        <x:v>0</x:v>
      </x:c>
    </x:row>
    <x:row r="2225">
      <x:c r="A2225" t="n">
        <x:v>4041</x:v>
      </x:c>
      <x:c r="B2225" t="str">
        <x:v>2024-12</x:v>
      </x:c>
      <x:c r="C2225" t="str">
        <x:v>Salaried</x:v>
      </x:c>
      <x:c r="D2225" t="str">
        <x:v>Group B</x:v>
      </x:c>
      <x:c r="E2225" s="26" t="n">
        <x:v>20487.29</x:v>
      </x:c>
      <x:c r="F2225" t="n">
        <x:v>0</x:v>
      </x:c>
      <x:c r="G2225" s="25" t="n">
        <x:v>0.260244</x:v>
      </x:c>
      <x:c r="H2225" t="n">
        <x:f>IF(G2225&lt;$B$6,1,0)</x:f>
        <x:v>0</x:v>
      </x:c>
      <x:c r="I2225" s="26" t="n">
        <x:f>H2225*IF(F2225=0,E2225*$B$7,-E2225*$B$8)</x:f>
        <x:v>0</x:v>
      </x:c>
    </x:row>
    <x:row r="2226">
      <x:c r="A2226" t="n">
        <x:v>4063</x:v>
      </x:c>
      <x:c r="B2226" t="str">
        <x:v>2024-12</x:v>
      </x:c>
      <x:c r="C2226" t="str">
        <x:v>Salaried</x:v>
      </x:c>
      <x:c r="D2226" t="str">
        <x:v>Group B</x:v>
      </x:c>
      <x:c r="E2226" s="26" t="n">
        <x:v>40473.45</x:v>
      </x:c>
      <x:c r="F2226" t="n">
        <x:v>1</x:v>
      </x:c>
      <x:c r="G2226" s="25" t="n">
        <x:v>0.432764</x:v>
      </x:c>
      <x:c r="H2226" t="n">
        <x:f>IF(G2226&lt;$B$6,1,0)</x:f>
        <x:v>0</x:v>
      </x:c>
      <x:c r="I2226" s="26" t="n">
        <x:f>H2226*IF(F2226=0,E2226*$B$7,-E2226*$B$8)</x:f>
        <x:v>0</x:v>
      </x:c>
    </x:row>
    <x:row r="2227">
      <x:c r="A2227" t="n">
        <x:v>4098</x:v>
      </x:c>
      <x:c r="B2227" t="str">
        <x:v>2024-12</x:v>
      </x:c>
      <x:c r="C2227" t="str">
        <x:v>Contract</x:v>
      </x:c>
      <x:c r="D2227" t="str">
        <x:v>Group A</x:v>
      </x:c>
      <x:c r="E2227" s="26" t="n">
        <x:v>14285.21</x:v>
      </x:c>
      <x:c r="F2227" t="n">
        <x:v>0</x:v>
      </x:c>
      <x:c r="G2227" s="25" t="n">
        <x:v>0.287651</x:v>
      </x:c>
      <x:c r="H2227" t="n">
        <x:f>IF(G2227&lt;$B$6,1,0)</x:f>
        <x:v>0</x:v>
      </x:c>
      <x:c r="I2227" s="26" t="n">
        <x:f>H2227*IF(F2227=0,E2227*$B$7,-E2227*$B$8)</x:f>
        <x:v>0</x:v>
      </x:c>
    </x:row>
    <x:row r="2228">
      <x:c r="A2228" t="n">
        <x:v>4152</x:v>
      </x:c>
      <x:c r="B2228" t="str">
        <x:v>2024-12</x:v>
      </x:c>
      <x:c r="C2228" t="str">
        <x:v>Salaried</x:v>
      </x:c>
      <x:c r="D2228" t="str">
        <x:v>Group A</x:v>
      </x:c>
      <x:c r="E2228" s="26" t="n">
        <x:v>10371.9</x:v>
      </x:c>
      <x:c r="F2228" t="n">
        <x:v>0</x:v>
      </x:c>
      <x:c r="G2228" s="25" t="n">
        <x:v>0.055081</x:v>
      </x:c>
      <x:c r="H2228" t="n">
        <x:f>IF(G2228&lt;$B$6,1,0)</x:f>
        <x:v>1</x:v>
      </x:c>
      <x:c r="I2228" s="26" t="n">
        <x:f>H2228*IF(F2228=0,E2228*$B$7,-E2228*$B$8)</x:f>
        <x:v>1244.628</x:v>
      </x:c>
    </x:row>
    <x:row r="2229">
      <x:c r="A2229" t="n">
        <x:v>4194</x:v>
      </x:c>
      <x:c r="B2229" t="str">
        <x:v>2024-12</x:v>
      </x:c>
      <x:c r="C2229" t="str">
        <x:v>Salaried</x:v>
      </x:c>
      <x:c r="D2229" t="str">
        <x:v>Group B</x:v>
      </x:c>
      <x:c r="E2229" s="26" t="n">
        <x:v>8974.44</x:v>
      </x:c>
      <x:c r="F2229" t="n">
        <x:v>1</x:v>
      </x:c>
      <x:c r="G2229" s="25" t="n">
        <x:v>0.207316</x:v>
      </x:c>
      <x:c r="H2229" t="n">
        <x:f>IF(G2229&lt;$B$6,1,0)</x:f>
        <x:v>0</x:v>
      </x:c>
      <x:c r="I2229" s="26" t="n">
        <x:f>H2229*IF(F2229=0,E2229*$B$7,-E2229*$B$8)</x:f>
        <x:v>0</x:v>
      </x:c>
    </x:row>
    <x:row r="2230">
      <x:c r="A2230" t="n">
        <x:v>4199</x:v>
      </x:c>
      <x:c r="B2230" t="str">
        <x:v>2024-12</x:v>
      </x:c>
      <x:c r="C2230" t="str">
        <x:v>Salaried</x:v>
      </x:c>
      <x:c r="D2230" t="str">
        <x:v>Group B</x:v>
      </x:c>
      <x:c r="E2230" s="26" t="n">
        <x:v>17057.6</x:v>
      </x:c>
      <x:c r="F2230" t="n">
        <x:v>0</x:v>
      </x:c>
      <x:c r="G2230" s="25" t="n">
        <x:v>0.351194</x:v>
      </x:c>
      <x:c r="H2230" t="n">
        <x:f>IF(G2230&lt;$B$6,1,0)</x:f>
        <x:v>0</x:v>
      </x:c>
      <x:c r="I2230" s="26" t="n">
        <x:f>H2230*IF(F2230=0,E2230*$B$7,-E2230*$B$8)</x:f>
        <x:v>0</x:v>
      </x:c>
    </x:row>
    <x:row r="2231">
      <x:c r="A2231" t="n">
        <x:v>4211</x:v>
      </x:c>
      <x:c r="B2231" t="str">
        <x:v>2024-12</x:v>
      </x:c>
      <x:c r="C2231" t="str">
        <x:v>Salaried</x:v>
      </x:c>
      <x:c r="D2231" t="str">
        <x:v>Group B</x:v>
      </x:c>
      <x:c r="E2231" s="26" t="n">
        <x:v>16661.87</x:v>
      </x:c>
      <x:c r="F2231" t="n">
        <x:v>1</x:v>
      </x:c>
      <x:c r="G2231" s="25" t="n">
        <x:v>0.279643</x:v>
      </x:c>
      <x:c r="H2231" t="n">
        <x:f>IF(G2231&lt;$B$6,1,0)</x:f>
        <x:v>0</x:v>
      </x:c>
      <x:c r="I2231" s="26" t="n">
        <x:f>H2231*IF(F2231=0,E2231*$B$7,-E2231*$B$8)</x:f>
        <x:v>0</x:v>
      </x:c>
    </x:row>
    <x:row r="2232">
      <x:c r="A2232" t="n">
        <x:v>4230</x:v>
      </x:c>
      <x:c r="B2232" t="str">
        <x:v>2024-12</x:v>
      </x:c>
      <x:c r="C2232" t="str">
        <x:v>Self employed</x:v>
      </x:c>
      <x:c r="D2232" t="str">
        <x:v>Group A</x:v>
      </x:c>
      <x:c r="E2232" s="26" t="n">
        <x:v>13140.91</x:v>
      </x:c>
      <x:c r="F2232" t="n">
        <x:v>1</x:v>
      </x:c>
      <x:c r="G2232" s="25" t="n">
        <x:v>0.228381</x:v>
      </x:c>
      <x:c r="H2232" t="n">
        <x:f>IF(G2232&lt;$B$6,1,0)</x:f>
        <x:v>0</x:v>
      </x:c>
      <x:c r="I2232" s="26" t="n">
        <x:f>H2232*IF(F2232=0,E2232*$B$7,-E2232*$B$8)</x:f>
        <x:v>0</x:v>
      </x:c>
    </x:row>
    <x:row r="2233">
      <x:c r="A2233" t="n">
        <x:v>4258</x:v>
      </x:c>
      <x:c r="B2233" t="str">
        <x:v>2024-12</x:v>
      </x:c>
      <x:c r="C2233" t="str">
        <x:v>Salaried</x:v>
      </x:c>
      <x:c r="D2233" t="str">
        <x:v>Group A</x:v>
      </x:c>
      <x:c r="E2233" s="26" t="n">
        <x:v>19997.99</x:v>
      </x:c>
      <x:c r="F2233" t="n">
        <x:v>0</x:v>
      </x:c>
      <x:c r="G2233" s="25" t="n">
        <x:v>0.099272</x:v>
      </x:c>
      <x:c r="H2233" t="n">
        <x:f>IF(G2233&lt;$B$6,1,0)</x:f>
        <x:v>1</x:v>
      </x:c>
      <x:c r="I2233" s="26" t="n">
        <x:f>H2233*IF(F2233=0,E2233*$B$7,-E2233*$B$8)</x:f>
        <x:v>2399.7588</x:v>
      </x:c>
    </x:row>
    <x:row r="2234">
      <x:c r="A2234" t="n">
        <x:v>4317</x:v>
      </x:c>
      <x:c r="B2234" t="str">
        <x:v>2024-12</x:v>
      </x:c>
      <x:c r="C2234" t="str">
        <x:v>Salaried</x:v>
      </x:c>
      <x:c r="D2234" t="str">
        <x:v>Group B</x:v>
      </x:c>
      <x:c r="E2234" s="26" t="n">
        <x:v>16202.46</x:v>
      </x:c>
      <x:c r="F2234" t="n">
        <x:v>0</x:v>
      </x:c>
      <x:c r="G2234" s="25" t="n">
        <x:v>0.154188</x:v>
      </x:c>
      <x:c r="H2234" t="n">
        <x:f>IF(G2234&lt;$B$6,1,0)</x:f>
        <x:v>1</x:v>
      </x:c>
      <x:c r="I2234" s="26" t="n">
        <x:f>H2234*IF(F2234=0,E2234*$B$7,-E2234*$B$8)</x:f>
        <x:v>1944.2951999999998</x:v>
      </x:c>
    </x:row>
    <x:row r="2235">
      <x:c r="A2235" t="n">
        <x:v>4396</x:v>
      </x:c>
      <x:c r="B2235" t="str">
        <x:v>2024-12</x:v>
      </x:c>
      <x:c r="C2235" t="str">
        <x:v>Contract</x:v>
      </x:c>
      <x:c r="D2235" t="str">
        <x:v>Group A</x:v>
      </x:c>
      <x:c r="E2235" s="26" t="n">
        <x:v>20242.26</x:v>
      </x:c>
      <x:c r="F2235" t="n">
        <x:v>1</x:v>
      </x:c>
      <x:c r="G2235" s="25" t="n">
        <x:v>0.260545</x:v>
      </x:c>
      <x:c r="H2235" t="n">
        <x:f>IF(G2235&lt;$B$6,1,0)</x:f>
        <x:v>0</x:v>
      </x:c>
      <x:c r="I2235" s="26" t="n">
        <x:f>H2235*IF(F2235=0,E2235*$B$7,-E2235*$B$8)</x:f>
        <x:v>0</x:v>
      </x:c>
    </x:row>
    <x:row r="2236">
      <x:c r="A2236" t="n">
        <x:v>4409</x:v>
      </x:c>
      <x:c r="B2236" t="str">
        <x:v>2024-12</x:v>
      </x:c>
      <x:c r="C2236" t="str">
        <x:v>Salaried</x:v>
      </x:c>
      <x:c r="D2236" t="str">
        <x:v>Group B</x:v>
      </x:c>
      <x:c r="E2236" s="26" t="n">
        <x:v>26613.22</x:v>
      </x:c>
      <x:c r="F2236" t="n">
        <x:v>0</x:v>
      </x:c>
      <x:c r="G2236" s="25" t="n">
        <x:v>0.55996</x:v>
      </x:c>
      <x:c r="H2236" t="n">
        <x:f>IF(G2236&lt;$B$6,1,0)</x:f>
        <x:v>0</x:v>
      </x:c>
      <x:c r="I2236" s="26" t="n">
        <x:f>H2236*IF(F2236=0,E2236*$B$7,-E2236*$B$8)</x:f>
        <x:v>0</x:v>
      </x:c>
    </x:row>
    <x:row r="2237">
      <x:c r="A2237" t="n">
        <x:v>4415</x:v>
      </x:c>
      <x:c r="B2237" t="str">
        <x:v>2024-12</x:v>
      </x:c>
      <x:c r="C2237" t="str">
        <x:v>Salaried</x:v>
      </x:c>
      <x:c r="D2237" t="str">
        <x:v>Group B</x:v>
      </x:c>
      <x:c r="E2237" s="26" t="n">
        <x:v>11035.73</x:v>
      </x:c>
      <x:c r="F2237" t="n">
        <x:v>1</x:v>
      </x:c>
      <x:c r="G2237" s="25" t="n">
        <x:v>0.135767</x:v>
      </x:c>
      <x:c r="H2237" t="n">
        <x:f>IF(G2237&lt;$B$6,1,0)</x:f>
        <x:v>1</x:v>
      </x:c>
      <x:c r="I2237" s="26" t="n">
        <x:f>H2237*IF(F2237=0,E2237*$B$7,-E2237*$B$8)</x:f>
        <x:v>-7173.2245</x:v>
      </x:c>
    </x:row>
    <x:row r="2238">
      <x:c r="A2238" t="n">
        <x:v>4430</x:v>
      </x:c>
      <x:c r="B2238" t="str">
        <x:v>2024-12</x:v>
      </x:c>
      <x:c r="C2238" t="str">
        <x:v>Salaried</x:v>
      </x:c>
      <x:c r="D2238" t="str">
        <x:v>Group A</x:v>
      </x:c>
      <x:c r="E2238" s="26" t="n">
        <x:v>21444.98</x:v>
      </x:c>
      <x:c r="F2238" t="n">
        <x:v>0</x:v>
      </x:c>
      <x:c r="G2238" s="25" t="n">
        <x:v>0.01736</x:v>
      </x:c>
      <x:c r="H2238" t="n">
        <x:f>IF(G2238&lt;$B$6,1,0)</x:f>
        <x:v>1</x:v>
      </x:c>
      <x:c r="I2238" s="26" t="n">
        <x:f>H2238*IF(F2238=0,E2238*$B$7,-E2238*$B$8)</x:f>
        <x:v>2573.3976</x:v>
      </x:c>
    </x:row>
    <x:row r="2239">
      <x:c r="A2239" t="n">
        <x:v>4435</x:v>
      </x:c>
      <x:c r="B2239" t="str">
        <x:v>2024-12</x:v>
      </x:c>
      <x:c r="C2239" t="str">
        <x:v>Salaried</x:v>
      </x:c>
      <x:c r="D2239" t="str">
        <x:v>Group A</x:v>
      </x:c>
      <x:c r="E2239" s="26" t="n">
        <x:v>11481.75</x:v>
      </x:c>
      <x:c r="F2239" t="n">
        <x:v>0</x:v>
      </x:c>
      <x:c r="G2239" s="25" t="n">
        <x:v>0.179988</x:v>
      </x:c>
      <x:c r="H2239" t="n">
        <x:f>IF(G2239&lt;$B$6,1,0)</x:f>
        <x:v>0</x:v>
      </x:c>
      <x:c r="I2239" s="26" t="n">
        <x:f>H2239*IF(F2239=0,E2239*$B$7,-E2239*$B$8)</x:f>
        <x:v>0</x:v>
      </x:c>
    </x:row>
    <x:row r="2240">
      <x:c r="A2240" t="n">
        <x:v>4445</x:v>
      </x:c>
      <x:c r="B2240" t="str">
        <x:v>2024-12</x:v>
      </x:c>
      <x:c r="C2240" t="str">
        <x:v>Contract</x:v>
      </x:c>
      <x:c r="D2240" t="str">
        <x:v>Group B</x:v>
      </x:c>
      <x:c r="E2240" s="26" t="n">
        <x:v>11166.41</x:v>
      </x:c>
      <x:c r="F2240" t="n">
        <x:v>1</x:v>
      </x:c>
      <x:c r="G2240" s="25" t="n">
        <x:v>0.394178</x:v>
      </x:c>
      <x:c r="H2240" t="n">
        <x:f>IF(G2240&lt;$B$6,1,0)</x:f>
        <x:v>0</x:v>
      </x:c>
      <x:c r="I2240" s="26" t="n">
        <x:f>H2240*IF(F2240=0,E2240*$B$7,-E2240*$B$8)</x:f>
        <x:v>0</x:v>
      </x:c>
    </x:row>
    <x:row r="2241">
      <x:c r="A2241" t="n">
        <x:v>4455</x:v>
      </x:c>
      <x:c r="B2241" t="str">
        <x:v>2024-12</x:v>
      </x:c>
      <x:c r="C2241" t="str">
        <x:v>Self employed</x:v>
      </x:c>
      <x:c r="D2241" t="str">
        <x:v>Group A</x:v>
      </x:c>
      <x:c r="E2241" s="26" t="n">
        <x:v>22665.14</x:v>
      </x:c>
      <x:c r="F2241" t="n">
        <x:v>0</x:v>
      </x:c>
      <x:c r="G2241" s="25" t="n">
        <x:v>0.087281</x:v>
      </x:c>
      <x:c r="H2241" t="n">
        <x:f>IF(G2241&lt;$B$6,1,0)</x:f>
        <x:v>1</x:v>
      </x:c>
      <x:c r="I2241" s="26" t="n">
        <x:f>H2241*IF(F2241=0,E2241*$B$7,-E2241*$B$8)</x:f>
        <x:v>2719.8167999999996</x:v>
      </x:c>
    </x:row>
    <x:row r="2242">
      <x:c r="A2242" t="n">
        <x:v>4498</x:v>
      </x:c>
      <x:c r="B2242" t="str">
        <x:v>2024-12</x:v>
      </x:c>
      <x:c r="C2242" t="str">
        <x:v>Salaried</x:v>
      </x:c>
      <x:c r="D2242" t="str">
        <x:v>Group B</x:v>
      </x:c>
      <x:c r="E2242" s="26" t="n">
        <x:v>26667.43</x:v>
      </x:c>
      <x:c r="F2242" t="n">
        <x:v>0</x:v>
      </x:c>
      <x:c r="G2242" s="25" t="n">
        <x:v>0.115108</x:v>
      </x:c>
      <x:c r="H2242" t="n">
        <x:f>IF(G2242&lt;$B$6,1,0)</x:f>
        <x:v>1</x:v>
      </x:c>
      <x:c r="I2242" s="26" t="n">
        <x:f>H2242*IF(F2242=0,E2242*$B$7,-E2242*$B$8)</x:f>
        <x:v>3200.0915999999997</x:v>
      </x:c>
    </x:row>
    <x:row r="2243">
      <x:c r="A2243" t="n">
        <x:v>4509</x:v>
      </x:c>
      <x:c r="B2243" t="str">
        <x:v>2024-12</x:v>
      </x:c>
      <x:c r="C2243" t="str">
        <x:v>Salaried</x:v>
      </x:c>
      <x:c r="D2243" t="str">
        <x:v>Group B</x:v>
      </x:c>
      <x:c r="E2243" s="26" t="n">
        <x:v>24234.21</x:v>
      </x:c>
      <x:c r="F2243" t="n">
        <x:v>1</x:v>
      </x:c>
      <x:c r="G2243" s="25" t="n">
        <x:v>0.122371</x:v>
      </x:c>
      <x:c r="H2243" t="n">
        <x:f>IF(G2243&lt;$B$6,1,0)</x:f>
        <x:v>1</x:v>
      </x:c>
      <x:c r="I2243" s="26" t="n">
        <x:f>H2243*IF(F2243=0,E2243*$B$7,-E2243*$B$8)</x:f>
        <x:v>-15752.236499999999</x:v>
      </x:c>
    </x:row>
    <x:row r="2244">
      <x:c r="A2244" t="n">
        <x:v>4535</x:v>
      </x:c>
      <x:c r="B2244" t="str">
        <x:v>2024-12</x:v>
      </x:c>
      <x:c r="C2244" t="str">
        <x:v>Contract</x:v>
      </x:c>
      <x:c r="D2244" t="str">
        <x:v>Group A</x:v>
      </x:c>
      <x:c r="E2244" s="26" t="n">
        <x:v>3169.42</x:v>
      </x:c>
      <x:c r="F2244" t="n">
        <x:v>0</x:v>
      </x:c>
      <x:c r="G2244" s="25" t="n">
        <x:v>0.273299</x:v>
      </x:c>
      <x:c r="H2244" t="n">
        <x:f>IF(G2244&lt;$B$6,1,0)</x:f>
        <x:v>0</x:v>
      </x:c>
      <x:c r="I2244" s="26" t="n">
        <x:f>H2244*IF(F2244=0,E2244*$B$7,-E2244*$B$8)</x:f>
        <x:v>0</x:v>
      </x:c>
    </x:row>
    <x:row r="2245">
      <x:c r="A2245" t="n">
        <x:v>4543</x:v>
      </x:c>
      <x:c r="B2245" t="str">
        <x:v>2024-12</x:v>
      </x:c>
      <x:c r="C2245" t="str">
        <x:v>Salaried</x:v>
      </x:c>
      <x:c r="D2245" t="str">
        <x:v>Group A</x:v>
      </x:c>
      <x:c r="E2245" s="26" t="n">
        <x:v>12351.48</x:v>
      </x:c>
      <x:c r="F2245" t="n">
        <x:v>0</x:v>
      </x:c>
      <x:c r="G2245" s="25" t="n">
        <x:v>0.095451</x:v>
      </x:c>
      <x:c r="H2245" t="n">
        <x:f>IF(G2245&lt;$B$6,1,0)</x:f>
        <x:v>1</x:v>
      </x:c>
      <x:c r="I2245" s="26" t="n">
        <x:f>H2245*IF(F2245=0,E2245*$B$7,-E2245*$B$8)</x:f>
        <x:v>1482.1776</x:v>
      </x:c>
    </x:row>
    <x:row r="2246">
      <x:c r="A2246" t="n">
        <x:v>4547</x:v>
      </x:c>
      <x:c r="B2246" t="str">
        <x:v>2024-12</x:v>
      </x:c>
      <x:c r="C2246" t="str">
        <x:v>Salaried</x:v>
      </x:c>
      <x:c r="D2246" t="str">
        <x:v>Group B</x:v>
      </x:c>
      <x:c r="E2246" s="26" t="n">
        <x:v>13279.86</x:v>
      </x:c>
      <x:c r="F2246" t="n">
        <x:v>0</x:v>
      </x:c>
      <x:c r="G2246" s="25" t="n">
        <x:v>0.046896</x:v>
      </x:c>
      <x:c r="H2246" t="n">
        <x:f>IF(G2246&lt;$B$6,1,0)</x:f>
        <x:v>1</x:v>
      </x:c>
      <x:c r="I2246" s="26" t="n">
        <x:f>H2246*IF(F2246=0,E2246*$B$7,-E2246*$B$8)</x:f>
        <x:v>1593.5832</x:v>
      </x:c>
    </x:row>
    <x:row r="2247">
      <x:c r="A2247" t="n">
        <x:v>4567</x:v>
      </x:c>
      <x:c r="B2247" t="str">
        <x:v>2024-12</x:v>
      </x:c>
      <x:c r="C2247" t="str">
        <x:v>Salaried</x:v>
      </x:c>
      <x:c r="D2247" t="str">
        <x:v>Group A</x:v>
      </x:c>
      <x:c r="E2247" s="26" t="n">
        <x:v>13294.78</x:v>
      </x:c>
      <x:c r="F2247" t="n">
        <x:v>0</x:v>
      </x:c>
      <x:c r="G2247" s="25" t="n">
        <x:v>0.168629</x:v>
      </x:c>
      <x:c r="H2247" t="n">
        <x:f>IF(G2247&lt;$B$6,1,0)</x:f>
        <x:v>0</x:v>
      </x:c>
      <x:c r="I2247" s="26" t="n">
        <x:f>H2247*IF(F2247=0,E2247*$B$7,-E2247*$B$8)</x:f>
        <x:v>0</x:v>
      </x:c>
    </x:row>
    <x:row r="2248">
      <x:c r="A2248" t="n">
        <x:v>4623</x:v>
      </x:c>
      <x:c r="B2248" t="str">
        <x:v>2024-12</x:v>
      </x:c>
      <x:c r="C2248" t="str">
        <x:v>Salaried</x:v>
      </x:c>
      <x:c r="D2248" t="str">
        <x:v>Group B</x:v>
      </x:c>
      <x:c r="E2248" s="26" t="n">
        <x:v>6439.64</x:v>
      </x:c>
      <x:c r="F2248" t="n">
        <x:v>0</x:v>
      </x:c>
      <x:c r="G2248" s="25" t="n">
        <x:v>0.140918</x:v>
      </x:c>
      <x:c r="H2248" t="n">
        <x:f>IF(G2248&lt;$B$6,1,0)</x:f>
        <x:v>1</x:v>
      </x:c>
      <x:c r="I2248" s="26" t="n">
        <x:f>H2248*IF(F2248=0,E2248*$B$7,-E2248*$B$8)</x:f>
        <x:v>772.7568</x:v>
      </x:c>
    </x:row>
    <x:row r="2249">
      <x:c r="A2249" t="n">
        <x:v>4652</x:v>
      </x:c>
      <x:c r="B2249" t="str">
        <x:v>2024-12</x:v>
      </x:c>
      <x:c r="C2249" t="str">
        <x:v>Salaried</x:v>
      </x:c>
      <x:c r="D2249" t="str">
        <x:v>Group A</x:v>
      </x:c>
      <x:c r="E2249" s="26" t="n">
        <x:v>34697.52</x:v>
      </x:c>
      <x:c r="F2249" t="n">
        <x:v>0</x:v>
      </x:c>
      <x:c r="G2249" s="25" t="n">
        <x:v>0.352153</x:v>
      </x:c>
      <x:c r="H2249" t="n">
        <x:f>IF(G2249&lt;$B$6,1,0)</x:f>
        <x:v>0</x:v>
      </x:c>
      <x:c r="I2249" s="26" t="n">
        <x:f>H2249*IF(F2249=0,E2249*$B$7,-E2249*$B$8)</x:f>
        <x:v>0</x:v>
      </x:c>
    </x:row>
    <x:row r="2250">
      <x:c r="A2250" t="n">
        <x:v>4665</x:v>
      </x:c>
      <x:c r="B2250" t="str">
        <x:v>2024-12</x:v>
      </x:c>
      <x:c r="C2250" t="str">
        <x:v>Salaried</x:v>
      </x:c>
      <x:c r="D2250" t="str">
        <x:v>Group B</x:v>
      </x:c>
      <x:c r="E2250" s="26" t="n">
        <x:v>12844.57</x:v>
      </x:c>
      <x:c r="F2250" t="n">
        <x:v>1</x:v>
      </x:c>
      <x:c r="G2250" s="25" t="n">
        <x:v>0.379879</x:v>
      </x:c>
      <x:c r="H2250" t="n">
        <x:f>IF(G2250&lt;$B$6,1,0)</x:f>
        <x:v>0</x:v>
      </x:c>
      <x:c r="I2250" s="26" t="n">
        <x:f>H2250*IF(F2250=0,E2250*$B$7,-E2250*$B$8)</x:f>
        <x:v>0</x:v>
      </x:c>
    </x:row>
    <x:row r="2251">
      <x:c r="A2251" t="n">
        <x:v>4686</x:v>
      </x:c>
      <x:c r="B2251" t="str">
        <x:v>2024-12</x:v>
      </x:c>
      <x:c r="C2251" t="str">
        <x:v>Salaried</x:v>
      </x:c>
      <x:c r="D2251" t="str">
        <x:v>Group A</x:v>
      </x:c>
      <x:c r="E2251" s="26" t="n">
        <x:v>62949.63</x:v>
      </x:c>
      <x:c r="F2251" t="n">
        <x:v>0</x:v>
      </x:c>
      <x:c r="G2251" s="25" t="n">
        <x:v>0.470872</x:v>
      </x:c>
      <x:c r="H2251" t="n">
        <x:f>IF(G2251&lt;$B$6,1,0)</x:f>
        <x:v>0</x:v>
      </x:c>
      <x:c r="I2251" s="26" t="n">
        <x:f>H2251*IF(F2251=0,E2251*$B$7,-E2251*$B$8)</x:f>
        <x:v>0</x:v>
      </x:c>
    </x:row>
    <x:row r="2252">
      <x:c r="A2252" t="n">
        <x:v>4693</x:v>
      </x:c>
      <x:c r="B2252" t="str">
        <x:v>2024-12</x:v>
      </x:c>
      <x:c r="C2252" t="str">
        <x:v>Salaried</x:v>
      </x:c>
      <x:c r="D2252" t="str">
        <x:v>Group B</x:v>
      </x:c>
      <x:c r="E2252" s="26" t="n">
        <x:v>48405.34</x:v>
      </x:c>
      <x:c r="F2252" t="n">
        <x:v>1</x:v>
      </x:c>
      <x:c r="G2252" s="25" t="n">
        <x:v>0.391226</x:v>
      </x:c>
      <x:c r="H2252" t="n">
        <x:f>IF(G2252&lt;$B$6,1,0)</x:f>
        <x:v>0</x:v>
      </x:c>
      <x:c r="I2252" s="26" t="n">
        <x:f>H2252*IF(F2252=0,E2252*$B$7,-E2252*$B$8)</x:f>
        <x:v>0</x:v>
      </x:c>
    </x:row>
    <x:row r="2253">
      <x:c r="A2253" t="n">
        <x:v>4699</x:v>
      </x:c>
      <x:c r="B2253" t="str">
        <x:v>2024-12</x:v>
      </x:c>
      <x:c r="C2253" t="str">
        <x:v>Self employed</x:v>
      </x:c>
      <x:c r="D2253" t="str">
        <x:v>Group A</x:v>
      </x:c>
      <x:c r="E2253" s="26" t="n">
        <x:v>8514.16</x:v>
      </x:c>
      <x:c r="F2253" t="n">
        <x:v>0</x:v>
      </x:c>
      <x:c r="G2253" s="25" t="n">
        <x:v>0.176512</x:v>
      </x:c>
      <x:c r="H2253" t="n">
        <x:f>IF(G2253&lt;$B$6,1,0)</x:f>
        <x:v>0</x:v>
      </x:c>
      <x:c r="I2253" s="26" t="n">
        <x:f>H2253*IF(F2253=0,E2253*$B$7,-E2253*$B$8)</x:f>
        <x:v>0</x:v>
      </x:c>
    </x:row>
    <x:row r="2254">
      <x:c r="A2254" t="n">
        <x:v>4726</x:v>
      </x:c>
      <x:c r="B2254" t="str">
        <x:v>2024-12</x:v>
      </x:c>
      <x:c r="C2254" t="str">
        <x:v>Self employed</x:v>
      </x:c>
      <x:c r="D2254" t="str">
        <x:v>Group A</x:v>
      </x:c>
      <x:c r="E2254" s="26" t="n">
        <x:v>19814.83</x:v>
      </x:c>
      <x:c r="F2254" t="n">
        <x:v>1</x:v>
      </x:c>
      <x:c r="G2254" s="25" t="n">
        <x:v>0.217391</x:v>
      </x:c>
      <x:c r="H2254" t="n">
        <x:f>IF(G2254&lt;$B$6,1,0)</x:f>
        <x:v>0</x:v>
      </x:c>
      <x:c r="I2254" s="26" t="n">
        <x:f>H2254*IF(F2254=0,E2254*$B$7,-E2254*$B$8)</x:f>
        <x:v>0</x:v>
      </x:c>
    </x:row>
    <x:row r="2255">
      <x:c r="A2255" t="n">
        <x:v>4731</x:v>
      </x:c>
      <x:c r="B2255" t="str">
        <x:v>2024-12</x:v>
      </x:c>
      <x:c r="C2255" t="str">
        <x:v>Salaried</x:v>
      </x:c>
      <x:c r="D2255" t="str">
        <x:v>Group B</x:v>
      </x:c>
      <x:c r="E2255" s="26" t="n">
        <x:v>10850.4</x:v>
      </x:c>
      <x:c r="F2255" t="n">
        <x:v>0</x:v>
      </x:c>
      <x:c r="G2255" s="25" t="n">
        <x:v>0.132529</x:v>
      </x:c>
      <x:c r="H2255" t="n">
        <x:f>IF(G2255&lt;$B$6,1,0)</x:f>
        <x:v>1</x:v>
      </x:c>
      <x:c r="I2255" s="26" t="n">
        <x:f>H2255*IF(F2255=0,E2255*$B$7,-E2255*$B$8)</x:f>
        <x:v>1302.048</x:v>
      </x:c>
    </x:row>
    <x:row r="2256">
      <x:c r="A2256" t="n">
        <x:v>4737</x:v>
      </x:c>
      <x:c r="B2256" t="str">
        <x:v>2024-12</x:v>
      </x:c>
      <x:c r="C2256" t="str">
        <x:v>Salaried</x:v>
      </x:c>
      <x:c r="D2256" t="str">
        <x:v>Group B</x:v>
      </x:c>
      <x:c r="E2256" s="26" t="n">
        <x:v>10725.46</x:v>
      </x:c>
      <x:c r="F2256" t="n">
        <x:v>0</x:v>
      </x:c>
      <x:c r="G2256" s="25" t="n">
        <x:v>0.264269</x:v>
      </x:c>
      <x:c r="H2256" t="n">
        <x:f>IF(G2256&lt;$B$6,1,0)</x:f>
        <x:v>0</x:v>
      </x:c>
      <x:c r="I2256" s="26" t="n">
        <x:f>H2256*IF(F2256=0,E2256*$B$7,-E2256*$B$8)</x:f>
        <x:v>0</x:v>
      </x:c>
    </x:row>
    <x:row r="2257">
      <x:c r="A2257" t="n">
        <x:v>4793</x:v>
      </x:c>
      <x:c r="B2257" t="str">
        <x:v>2024-12</x:v>
      </x:c>
      <x:c r="C2257" t="str">
        <x:v>Salaried</x:v>
      </x:c>
      <x:c r="D2257" t="str">
        <x:v>Group B</x:v>
      </x:c>
      <x:c r="E2257" s="26" t="n">
        <x:v>3688.95</x:v>
      </x:c>
      <x:c r="F2257" t="n">
        <x:v>1</x:v>
      </x:c>
      <x:c r="G2257" s="25" t="n">
        <x:v>0.564359</x:v>
      </x:c>
      <x:c r="H2257" t="n">
        <x:f>IF(G2257&lt;$B$6,1,0)</x:f>
        <x:v>0</x:v>
      </x:c>
      <x:c r="I2257" s="26" t="n">
        <x:f>H2257*IF(F2257=0,E2257*$B$7,-E2257*$B$8)</x:f>
        <x:v>0</x:v>
      </x:c>
    </x:row>
    <x:row r="2258">
      <x:c r="A2258" t="n">
        <x:v>4828</x:v>
      </x:c>
      <x:c r="B2258" t="str">
        <x:v>2024-12</x:v>
      </x:c>
      <x:c r="C2258" t="str">
        <x:v>Salaried</x:v>
      </x:c>
      <x:c r="D2258" t="str">
        <x:v>Group B</x:v>
      </x:c>
      <x:c r="E2258" s="26" t="n">
        <x:v>25062.58</x:v>
      </x:c>
      <x:c r="F2258" t="n">
        <x:v>0</x:v>
      </x:c>
      <x:c r="G2258" s="25" t="n">
        <x:v>0.159858</x:v>
      </x:c>
      <x:c r="H2258" t="n">
        <x:f>IF(G2258&lt;$B$6,1,0)</x:f>
        <x:v>1</x:v>
      </x:c>
      <x:c r="I2258" s="26" t="n">
        <x:f>H2258*IF(F2258=0,E2258*$B$7,-E2258*$B$8)</x:f>
        <x:v>3007.5096000000003</x:v>
      </x:c>
    </x:row>
    <x:row r="2259">
      <x:c r="A2259" t="n">
        <x:v>4829</x:v>
      </x:c>
      <x:c r="B2259" t="str">
        <x:v>2024-12</x:v>
      </x:c>
      <x:c r="C2259" t="str">
        <x:v>Salaried</x:v>
      </x:c>
      <x:c r="D2259" t="str">
        <x:v>Group A</x:v>
      </x:c>
      <x:c r="E2259" s="26" t="n">
        <x:v>35047.58</x:v>
      </x:c>
      <x:c r="F2259" t="n">
        <x:v>0</x:v>
      </x:c>
      <x:c r="G2259" s="25" t="n">
        <x:v>0.302982</x:v>
      </x:c>
      <x:c r="H2259" t="n">
        <x:f>IF(G2259&lt;$B$6,1,0)</x:f>
        <x:v>0</x:v>
      </x:c>
      <x:c r="I2259" s="26" t="n">
        <x:f>H2259*IF(F2259=0,E2259*$B$7,-E2259*$B$8)</x:f>
        <x:v>0</x:v>
      </x:c>
    </x:row>
    <x:row r="2260">
      <x:c r="A2260" t="n">
        <x:v>4834</x:v>
      </x:c>
      <x:c r="B2260" t="str">
        <x:v>2024-12</x:v>
      </x:c>
      <x:c r="C2260" t="str">
        <x:v>Salaried</x:v>
      </x:c>
      <x:c r="D2260" t="str">
        <x:v>Group B</x:v>
      </x:c>
      <x:c r="E2260" s="26" t="n">
        <x:v>10108.87</x:v>
      </x:c>
      <x:c r="F2260" t="n">
        <x:v>0</x:v>
      </x:c>
      <x:c r="G2260" s="25" t="n">
        <x:v>0.161177</x:v>
      </x:c>
      <x:c r="H2260" t="n">
        <x:f>IF(G2260&lt;$B$6,1,0)</x:f>
        <x:v>0</x:v>
      </x:c>
      <x:c r="I2260" s="26" t="n">
        <x:f>H2260*IF(F2260=0,E2260*$B$7,-E2260*$B$8)</x:f>
        <x:v>0</x:v>
      </x:c>
    </x:row>
    <x:row r="2261">
      <x:c r="A2261" t="n">
        <x:v>4837</x:v>
      </x:c>
      <x:c r="B2261" t="str">
        <x:v>2024-12</x:v>
      </x:c>
      <x:c r="C2261" t="str">
        <x:v>Contract</x:v>
      </x:c>
      <x:c r="D2261" t="str">
        <x:v>Group A</x:v>
      </x:c>
      <x:c r="E2261" s="26" t="n">
        <x:v>36050.01</x:v>
      </x:c>
      <x:c r="F2261" t="n">
        <x:v>0</x:v>
      </x:c>
      <x:c r="G2261" s="25" t="n">
        <x:v>0.230002</x:v>
      </x:c>
      <x:c r="H2261" t="n">
        <x:f>IF(G2261&lt;$B$6,1,0)</x:f>
        <x:v>0</x:v>
      </x:c>
      <x:c r="I2261" s="26" t="n">
        <x:f>H2261*IF(F2261=0,E2261*$B$7,-E2261*$B$8)</x:f>
        <x:v>0</x:v>
      </x:c>
    </x:row>
    <x:row r="2262">
      <x:c r="A2262" t="n">
        <x:v>4852</x:v>
      </x:c>
      <x:c r="B2262" t="str">
        <x:v>2024-12</x:v>
      </x:c>
      <x:c r="C2262" t="str">
        <x:v>Salaried</x:v>
      </x:c>
      <x:c r="D2262" t="str">
        <x:v>Group B</x:v>
      </x:c>
      <x:c r="E2262" s="26" t="n">
        <x:v>7194.66</x:v>
      </x:c>
      <x:c r="F2262" t="n">
        <x:v>1</x:v>
      </x:c>
      <x:c r="G2262" s="25" t="n">
        <x:v>0.452644</x:v>
      </x:c>
      <x:c r="H2262" t="n">
        <x:f>IF(G2262&lt;$B$6,1,0)</x:f>
        <x:v>0</x:v>
      </x:c>
      <x:c r="I2262" s="26" t="n">
        <x:f>H2262*IF(F2262=0,E2262*$B$7,-E2262*$B$8)</x:f>
        <x:v>0</x:v>
      </x:c>
    </x:row>
    <x:row r="2263">
      <x:c r="A2263" t="n">
        <x:v>4861</x:v>
      </x:c>
      <x:c r="B2263" t="str">
        <x:v>2024-12</x:v>
      </x:c>
      <x:c r="C2263" t="str">
        <x:v>Salaried</x:v>
      </x:c>
      <x:c r="D2263" t="str">
        <x:v>Group A</x:v>
      </x:c>
      <x:c r="E2263" s="26" t="n">
        <x:v>29870.46</x:v>
      </x:c>
      <x:c r="F2263" t="n">
        <x:v>0</x:v>
      </x:c>
      <x:c r="G2263" s="25" t="n">
        <x:v>0.405166</x:v>
      </x:c>
      <x:c r="H2263" t="n">
        <x:f>IF(G2263&lt;$B$6,1,0)</x:f>
        <x:v>0</x:v>
      </x:c>
      <x:c r="I2263" s="26" t="n">
        <x:f>H2263*IF(F2263=0,E2263*$B$7,-E2263*$B$8)</x:f>
        <x:v>0</x:v>
      </x:c>
    </x:row>
    <x:row r="2264">
      <x:c r="A2264" t="n">
        <x:v>4862</x:v>
      </x:c>
      <x:c r="B2264" t="str">
        <x:v>2024-12</x:v>
      </x:c>
      <x:c r="C2264" t="str">
        <x:v>Self employed</x:v>
      </x:c>
      <x:c r="D2264" t="str">
        <x:v>Group A</x:v>
      </x:c>
      <x:c r="E2264" s="26" t="n">
        <x:v>12819.85</x:v>
      </x:c>
      <x:c r="F2264" t="n">
        <x:v>1</x:v>
      </x:c>
      <x:c r="G2264" s="25" t="n">
        <x:v>0.289487</x:v>
      </x:c>
      <x:c r="H2264" t="n">
        <x:f>IF(G2264&lt;$B$6,1,0)</x:f>
        <x:v>0</x:v>
      </x:c>
      <x:c r="I2264" s="26" t="n">
        <x:f>H2264*IF(F2264=0,E2264*$B$7,-E2264*$B$8)</x:f>
        <x:v>0</x:v>
      </x:c>
    </x:row>
    <x:row r="2265">
      <x:c r="A2265" t="n">
        <x:v>4936</x:v>
      </x:c>
      <x:c r="B2265" t="str">
        <x:v>2024-12</x:v>
      </x:c>
      <x:c r="C2265" t="str">
        <x:v>Self employed</x:v>
      </x:c>
      <x:c r="D2265" t="str">
        <x:v>Group B</x:v>
      </x:c>
      <x:c r="E2265" s="26" t="n">
        <x:v>14862.07</x:v>
      </x:c>
      <x:c r="F2265" t="n">
        <x:v>0</x:v>
      </x:c>
      <x:c r="G2265" s="25" t="n">
        <x:v>0.049189</x:v>
      </x:c>
      <x:c r="H2265" t="n">
        <x:f>IF(G2265&lt;$B$6,1,0)</x:f>
        <x:v>1</x:v>
      </x:c>
      <x:c r="I2265" s="26" t="n">
        <x:f>H2265*IF(F2265=0,E2265*$B$7,-E2265*$B$8)</x:f>
        <x:v>1783.4484</x:v>
      </x:c>
    </x:row>
    <x:row r="2266">
      <x:c r="A2266" t="n">
        <x:v>4970</x:v>
      </x:c>
      <x:c r="B2266" t="str">
        <x:v>2024-12</x:v>
      </x:c>
      <x:c r="C2266" t="str">
        <x:v>Self employed</x:v>
      </x:c>
      <x:c r="D2266" t="str">
        <x:v>Group B</x:v>
      </x:c>
      <x:c r="E2266" s="26" t="n">
        <x:v>23055.19</x:v>
      </x:c>
      <x:c r="F2266" t="n">
        <x:v>1</x:v>
      </x:c>
      <x:c r="G2266" s="25" t="n">
        <x:v>0.254071</x:v>
      </x:c>
      <x:c r="H2266" t="n">
        <x:f>IF(G2266&lt;$B$6,1,0)</x:f>
        <x:v>0</x:v>
      </x:c>
      <x:c r="I2266" s="26" t="n">
        <x:f>H2266*IF(F2266=0,E2266*$B$7,-E2266*$B$8)</x:f>
        <x:v>0</x:v>
      </x:c>
    </x:row>
    <x:row r="2267">
      <x:c r="A2267" t="n">
        <x:v>4983</x:v>
      </x:c>
      <x:c r="B2267" t="str">
        <x:v>2024-12</x:v>
      </x:c>
      <x:c r="C2267" t="str">
        <x:v>Self employed</x:v>
      </x:c>
      <x:c r="D2267" t="str">
        <x:v>Group A</x:v>
      </x:c>
      <x:c r="E2267" s="26" t="n">
        <x:v>12124.31</x:v>
      </x:c>
      <x:c r="F2267" t="n">
        <x:v>0</x:v>
      </x:c>
      <x:c r="G2267" s="25" t="n">
        <x:v>0.131172</x:v>
      </x:c>
      <x:c r="H2267" t="n">
        <x:f>IF(G2267&lt;$B$6,1,0)</x:f>
        <x:v>1</x:v>
      </x:c>
      <x:c r="I2267" s="26" t="n">
        <x:f>H2267*IF(F2267=0,E2267*$B$7,-E2267*$B$8)</x:f>
        <x:v>1454.9171999999999</x:v>
      </x:c>
    </x:row>
    <x:row r="2268">
      <x:c r="A2268" t="n">
        <x:v>4991</x:v>
      </x:c>
      <x:c r="B2268" t="str">
        <x:v>2024-12</x:v>
      </x:c>
      <x:c r="C2268" t="str">
        <x:v>Contract</x:v>
      </x:c>
      <x:c r="D2268" t="str">
        <x:v>Group A</x:v>
      </x:c>
      <x:c r="E2268" s="26" t="n">
        <x:v>8619.26</x:v>
      </x:c>
      <x:c r="F2268" t="n">
        <x:v>0</x:v>
      </x:c>
      <x:c r="G2268" s="25" t="n">
        <x:v>0.060113</x:v>
      </x:c>
      <x:c r="H2268" t="n">
        <x:f>IF(G2268&lt;$B$6,1,0)</x:f>
        <x:v>1</x:v>
      </x:c>
      <x:c r="I2268" s="26" t="n">
        <x:f>H2268*IF(F2268=0,E2268*$B$7,-E2268*$B$8)</x:f>
        <x:v>1034.3112</x:v>
      </x:c>
    </x:row>
    <x:row r="2269">
      <x:c r="A2269" t="n">
        <x:v>5054</x:v>
      </x:c>
      <x:c r="B2269" t="str">
        <x:v>2024-12</x:v>
      </x:c>
      <x:c r="C2269" t="str">
        <x:v>Salaried</x:v>
      </x:c>
      <x:c r="D2269" t="str">
        <x:v>Group B</x:v>
      </x:c>
      <x:c r="E2269" s="26" t="n">
        <x:v>19969.52</x:v>
      </x:c>
      <x:c r="F2269" t="n">
        <x:v>0</x:v>
      </x:c>
      <x:c r="G2269" s="25" t="n">
        <x:v>0.173883</x:v>
      </x:c>
      <x:c r="H2269" t="n">
        <x:f>IF(G2269&lt;$B$6,1,0)</x:f>
        <x:v>0</x:v>
      </x:c>
      <x:c r="I2269" s="26" t="n">
        <x:f>H2269*IF(F2269=0,E2269*$B$7,-E2269*$B$8)</x:f>
        <x:v>0</x:v>
      </x:c>
    </x:row>
    <x:row r="2270">
      <x:c r="A2270" t="n">
        <x:v>5055</x:v>
      </x:c>
      <x:c r="B2270" t="str">
        <x:v>2024-12</x:v>
      </x:c>
      <x:c r="C2270" t="str">
        <x:v>Salaried</x:v>
      </x:c>
      <x:c r="D2270" t="str">
        <x:v>Group B</x:v>
      </x:c>
      <x:c r="E2270" s="26" t="n">
        <x:v>5405.85</x:v>
      </x:c>
      <x:c r="F2270" t="n">
        <x:v>0</x:v>
      </x:c>
      <x:c r="G2270" s="25" t="n">
        <x:v>0.303342</x:v>
      </x:c>
      <x:c r="H2270" t="n">
        <x:f>IF(G2270&lt;$B$6,1,0)</x:f>
        <x:v>0</x:v>
      </x:c>
      <x:c r="I2270" s="26" t="n">
        <x:f>H2270*IF(F2270=0,E2270*$B$7,-E2270*$B$8)</x:f>
        <x:v>0</x:v>
      </x:c>
    </x:row>
    <x:row r="2271">
      <x:c r="A2271" t="n">
        <x:v>5067</x:v>
      </x:c>
      <x:c r="B2271" t="str">
        <x:v>2024-12</x:v>
      </x:c>
      <x:c r="C2271" t="str">
        <x:v>Salaried</x:v>
      </x:c>
      <x:c r="D2271" t="str">
        <x:v>Group B</x:v>
      </x:c>
      <x:c r="E2271" s="26" t="n">
        <x:v>11089.69</x:v>
      </x:c>
      <x:c r="F2271" t="n">
        <x:v>0</x:v>
      </x:c>
      <x:c r="G2271" s="25" t="n">
        <x:v>0.557731</x:v>
      </x:c>
      <x:c r="H2271" t="n">
        <x:f>IF(G2271&lt;$B$6,1,0)</x:f>
        <x:v>0</x:v>
      </x:c>
      <x:c r="I2271" s="26" t="n">
        <x:f>H2271*IF(F2271=0,E2271*$B$7,-E2271*$B$8)</x:f>
        <x:v>0</x:v>
      </x:c>
    </x:row>
    <x:row r="2272">
      <x:c r="A2272" t="n">
        <x:v>5099</x:v>
      </x:c>
      <x:c r="B2272" t="str">
        <x:v>2024-12</x:v>
      </x:c>
      <x:c r="C2272" t="str">
        <x:v>Self employed</x:v>
      </x:c>
      <x:c r="D2272" t="str">
        <x:v>Group A</x:v>
      </x:c>
      <x:c r="E2272" s="26" t="n">
        <x:v>23085.47</x:v>
      </x:c>
      <x:c r="F2272" t="n">
        <x:v>0</x:v>
      </x:c>
      <x:c r="G2272" s="25" t="n">
        <x:v>0.226558</x:v>
      </x:c>
      <x:c r="H2272" t="n">
        <x:f>IF(G2272&lt;$B$6,1,0)</x:f>
        <x:v>0</x:v>
      </x:c>
      <x:c r="I2272" s="26" t="n">
        <x:f>H2272*IF(F2272=0,E2272*$B$7,-E2272*$B$8)</x:f>
        <x:v>0</x:v>
      </x:c>
    </x:row>
    <x:row r="2273">
      <x:c r="A2273" t="n">
        <x:v>5128</x:v>
      </x:c>
      <x:c r="B2273" t="str">
        <x:v>2024-12</x:v>
      </x:c>
      <x:c r="C2273" t="str">
        <x:v>Self employed</x:v>
      </x:c>
      <x:c r="D2273" t="str">
        <x:v>Group A</x:v>
      </x:c>
      <x:c r="E2273" s="26" t="n">
        <x:v>19253.96</x:v>
      </x:c>
      <x:c r="F2273" t="n">
        <x:v>0</x:v>
      </x:c>
      <x:c r="G2273" s="25" t="n">
        <x:v>0.598067</x:v>
      </x:c>
      <x:c r="H2273" t="n">
        <x:f>IF(G2273&lt;$B$6,1,0)</x:f>
        <x:v>0</x:v>
      </x:c>
      <x:c r="I2273" s="26" t="n">
        <x:f>H2273*IF(F2273=0,E2273*$B$7,-E2273*$B$8)</x:f>
        <x:v>0</x:v>
      </x:c>
    </x:row>
    <x:row r="2274">
      <x:c r="A2274" t="n">
        <x:v>5133</x:v>
      </x:c>
      <x:c r="B2274" t="str">
        <x:v>2024-12</x:v>
      </x:c>
      <x:c r="C2274" t="str">
        <x:v>Contract</x:v>
      </x:c>
      <x:c r="D2274" t="str">
        <x:v>Group B</x:v>
      </x:c>
      <x:c r="E2274" s="26" t="n">
        <x:v>14421.46</x:v>
      </x:c>
      <x:c r="F2274" t="n">
        <x:v>0</x:v>
      </x:c>
      <x:c r="G2274" s="25" t="n">
        <x:v>0.773629</x:v>
      </x:c>
      <x:c r="H2274" t="n">
        <x:f>IF(G2274&lt;$B$6,1,0)</x:f>
        <x:v>0</x:v>
      </x:c>
      <x:c r="I2274" s="26" t="n">
        <x:f>H2274*IF(F2274=0,E2274*$B$7,-E2274*$B$8)</x:f>
        <x:v>0</x:v>
      </x:c>
    </x:row>
    <x:row r="2275">
      <x:c r="A2275" t="n">
        <x:v>5162</x:v>
      </x:c>
      <x:c r="B2275" t="str">
        <x:v>2024-12</x:v>
      </x:c>
      <x:c r="C2275" t="str">
        <x:v>Salaried</x:v>
      </x:c>
      <x:c r="D2275" t="str">
        <x:v>Group B</x:v>
      </x:c>
      <x:c r="E2275" s="26" t="n">
        <x:v>16806.86</x:v>
      </x:c>
      <x:c r="F2275" t="n">
        <x:v>0</x:v>
      </x:c>
      <x:c r="G2275" s="25" t="n">
        <x:v>0.116512</x:v>
      </x:c>
      <x:c r="H2275" t="n">
        <x:f>IF(G2275&lt;$B$6,1,0)</x:f>
        <x:v>1</x:v>
      </x:c>
      <x:c r="I2275" s="26" t="n">
        <x:f>H2275*IF(F2275=0,E2275*$B$7,-E2275*$B$8)</x:f>
        <x:v>2016.8232</x:v>
      </x:c>
    </x:row>
    <x:row r="2276">
      <x:c r="A2276" t="n">
        <x:v>5177</x:v>
      </x:c>
      <x:c r="B2276" t="str">
        <x:v>2024-12</x:v>
      </x:c>
      <x:c r="C2276" t="str">
        <x:v>Salaried</x:v>
      </x:c>
      <x:c r="D2276" t="str">
        <x:v>Group A</x:v>
      </x:c>
      <x:c r="E2276" s="26" t="n">
        <x:v>10941.04</x:v>
      </x:c>
      <x:c r="F2276" t="n">
        <x:v>0</x:v>
      </x:c>
      <x:c r="G2276" s="25" t="n">
        <x:v>0.143806</x:v>
      </x:c>
      <x:c r="H2276" t="n">
        <x:f>IF(G2276&lt;$B$6,1,0)</x:f>
        <x:v>1</x:v>
      </x:c>
      <x:c r="I2276" s="26" t="n">
        <x:f>H2276*IF(F2276=0,E2276*$B$7,-E2276*$B$8)</x:f>
        <x:v>1312.9248</x:v>
      </x:c>
    </x:row>
    <x:row r="2277">
      <x:c r="A2277" t="n">
        <x:v>5222</x:v>
      </x:c>
      <x:c r="B2277" t="str">
        <x:v>2024-12</x:v>
      </x:c>
      <x:c r="C2277" t="str">
        <x:v>Salaried</x:v>
      </x:c>
      <x:c r="D2277" t="str">
        <x:v>Group A</x:v>
      </x:c>
      <x:c r="E2277" s="26" t="n">
        <x:v>24865.29</x:v>
      </x:c>
      <x:c r="F2277" t="n">
        <x:v>0</x:v>
      </x:c>
      <x:c r="G2277" s="25" t="n">
        <x:v>0.468304</x:v>
      </x:c>
      <x:c r="H2277" t="n">
        <x:f>IF(G2277&lt;$B$6,1,0)</x:f>
        <x:v>0</x:v>
      </x:c>
      <x:c r="I2277" s="26" t="n">
        <x:f>H2277*IF(F2277=0,E2277*$B$7,-E2277*$B$8)</x:f>
        <x:v>0</x:v>
      </x:c>
    </x:row>
    <x:row r="2278">
      <x:c r="A2278" t="n">
        <x:v>5226</x:v>
      </x:c>
      <x:c r="B2278" t="str">
        <x:v>2024-12</x:v>
      </x:c>
      <x:c r="C2278" t="str">
        <x:v>Salaried</x:v>
      </x:c>
      <x:c r="D2278" t="str">
        <x:v>Group A</x:v>
      </x:c>
      <x:c r="E2278" s="26" t="n">
        <x:v>21759.24</x:v>
      </x:c>
      <x:c r="F2278" t="n">
        <x:v>1</x:v>
      </x:c>
      <x:c r="G2278" s="25" t="n">
        <x:v>0.244314</x:v>
      </x:c>
      <x:c r="H2278" t="n">
        <x:f>IF(G2278&lt;$B$6,1,0)</x:f>
        <x:v>0</x:v>
      </x:c>
      <x:c r="I2278" s="26" t="n">
        <x:f>H2278*IF(F2278=0,E2278*$B$7,-E2278*$B$8)</x:f>
        <x:v>0</x:v>
      </x:c>
    </x:row>
    <x:row r="2279">
      <x:c r="A2279" t="n">
        <x:v>5229</x:v>
      </x:c>
      <x:c r="B2279" t="str">
        <x:v>2024-12</x:v>
      </x:c>
      <x:c r="C2279" t="str">
        <x:v>Contract</x:v>
      </x:c>
      <x:c r="D2279" t="str">
        <x:v>Group B</x:v>
      </x:c>
      <x:c r="E2279" s="26" t="n">
        <x:v>10538.21</x:v>
      </x:c>
      <x:c r="F2279" t="n">
        <x:v>0</x:v>
      </x:c>
      <x:c r="G2279" s="25" t="n">
        <x:v>0.17935</x:v>
      </x:c>
      <x:c r="H2279" t="n">
        <x:f>IF(G2279&lt;$B$6,1,0)</x:f>
        <x:v>0</x:v>
      </x:c>
      <x:c r="I2279" s="26" t="n">
        <x:f>H2279*IF(F2279=0,E2279*$B$7,-E2279*$B$8)</x:f>
        <x:v>0</x:v>
      </x:c>
    </x:row>
    <x:row r="2280">
      <x:c r="A2280" t="n">
        <x:v>5230</x:v>
      </x:c>
      <x:c r="B2280" t="str">
        <x:v>2024-12</x:v>
      </x:c>
      <x:c r="C2280" t="str">
        <x:v>Salaried</x:v>
      </x:c>
      <x:c r="D2280" t="str">
        <x:v>Group B</x:v>
      </x:c>
      <x:c r="E2280" s="26" t="n">
        <x:v>5358.04</x:v>
      </x:c>
      <x:c r="F2280" t="n">
        <x:v>0</x:v>
      </x:c>
      <x:c r="G2280" s="25" t="n">
        <x:v>0.539765</x:v>
      </x:c>
      <x:c r="H2280" t="n">
        <x:f>IF(G2280&lt;$B$6,1,0)</x:f>
        <x:v>0</x:v>
      </x:c>
      <x:c r="I2280" s="26" t="n">
        <x:f>H2280*IF(F2280=0,E2280*$B$7,-E2280*$B$8)</x:f>
        <x:v>0</x:v>
      </x:c>
    </x:row>
    <x:row r="2281">
      <x:c r="A2281" t="n">
        <x:v>5231</x:v>
      </x:c>
      <x:c r="B2281" t="str">
        <x:v>2024-12</x:v>
      </x:c>
      <x:c r="C2281" t="str">
        <x:v>Salaried</x:v>
      </x:c>
      <x:c r="D2281" t="str">
        <x:v>Group A</x:v>
      </x:c>
      <x:c r="E2281" s="26" t="n">
        <x:v>15900.49</x:v>
      </x:c>
      <x:c r="F2281" t="n">
        <x:v>1</x:v>
      </x:c>
      <x:c r="G2281" s="25" t="n">
        <x:v>0.469116</x:v>
      </x:c>
      <x:c r="H2281" t="n">
        <x:f>IF(G2281&lt;$B$6,1,0)</x:f>
        <x:v>0</x:v>
      </x:c>
      <x:c r="I2281" s="26" t="n">
        <x:f>H2281*IF(F2281=0,E2281*$B$7,-E2281*$B$8)</x:f>
        <x:v>0</x:v>
      </x:c>
    </x:row>
    <x:row r="2282">
      <x:c r="A2282" t="n">
        <x:v>5310</x:v>
      </x:c>
      <x:c r="B2282" t="str">
        <x:v>2024-12</x:v>
      </x:c>
      <x:c r="C2282" t="str">
        <x:v>Salaried</x:v>
      </x:c>
      <x:c r="D2282" t="str">
        <x:v>Group A</x:v>
      </x:c>
      <x:c r="E2282" s="26" t="n">
        <x:v>11170.56</x:v>
      </x:c>
      <x:c r="F2282" t="n">
        <x:v>0</x:v>
      </x:c>
      <x:c r="G2282" s="25" t="n">
        <x:v>0.128568</x:v>
      </x:c>
      <x:c r="H2282" t="n">
        <x:f>IF(G2282&lt;$B$6,1,0)</x:f>
        <x:v>1</x:v>
      </x:c>
      <x:c r="I2282" s="26" t="n">
        <x:f>H2282*IF(F2282=0,E2282*$B$7,-E2282*$B$8)</x:f>
        <x:v>1340.4671999999998</x:v>
      </x:c>
    </x:row>
    <x:row r="2283">
      <x:c r="A2283" t="n">
        <x:v>5333</x:v>
      </x:c>
      <x:c r="B2283" t="str">
        <x:v>2024-12</x:v>
      </x:c>
      <x:c r="C2283" t="str">
        <x:v>Salaried</x:v>
      </x:c>
      <x:c r="D2283" t="str">
        <x:v>Group A</x:v>
      </x:c>
      <x:c r="E2283" s="26" t="n">
        <x:v>18162.43</x:v>
      </x:c>
      <x:c r="F2283" t="n">
        <x:v>1</x:v>
      </x:c>
      <x:c r="G2283" s="25" t="n">
        <x:v>0.388692</x:v>
      </x:c>
      <x:c r="H2283" t="n">
        <x:f>IF(G2283&lt;$B$6,1,0)</x:f>
        <x:v>0</x:v>
      </x:c>
      <x:c r="I2283" s="26" t="n">
        <x:f>H2283*IF(F2283=0,E2283*$B$7,-E2283*$B$8)</x:f>
        <x:v>0</x:v>
      </x:c>
    </x:row>
    <x:row r="2284">
      <x:c r="A2284" t="n">
        <x:v>5337</x:v>
      </x:c>
      <x:c r="B2284" t="str">
        <x:v>2024-12</x:v>
      </x:c>
      <x:c r="C2284" t="str">
        <x:v>Contract</x:v>
      </x:c>
      <x:c r="D2284" t="str">
        <x:v>Group B</x:v>
      </x:c>
      <x:c r="E2284" s="26" t="n">
        <x:v>22322.28</x:v>
      </x:c>
      <x:c r="F2284" t="n">
        <x:v>0</x:v>
      </x:c>
      <x:c r="G2284" s="25" t="n">
        <x:v>0.169216</x:v>
      </x:c>
      <x:c r="H2284" t="n">
        <x:f>IF(G2284&lt;$B$6,1,0)</x:f>
        <x:v>0</x:v>
      </x:c>
      <x:c r="I2284" s="26" t="n">
        <x:f>H2284*IF(F2284=0,E2284*$B$7,-E2284*$B$8)</x:f>
        <x:v>0</x:v>
      </x:c>
    </x:row>
    <x:row r="2285">
      <x:c r="A2285" t="n">
        <x:v>5351</x:v>
      </x:c>
      <x:c r="B2285" t="str">
        <x:v>2024-12</x:v>
      </x:c>
      <x:c r="C2285" t="str">
        <x:v>Salaried</x:v>
      </x:c>
      <x:c r="D2285" t="str">
        <x:v>Group B</x:v>
      </x:c>
      <x:c r="E2285" s="26" t="n">
        <x:v>7208.65</x:v>
      </x:c>
      <x:c r="F2285" t="n">
        <x:v>0</x:v>
      </x:c>
      <x:c r="G2285" s="25" t="n">
        <x:v>0.078927</x:v>
      </x:c>
      <x:c r="H2285" t="n">
        <x:f>IF(G2285&lt;$B$6,1,0)</x:f>
        <x:v>1</x:v>
      </x:c>
      <x:c r="I2285" s="26" t="n">
        <x:f>H2285*IF(F2285=0,E2285*$B$7,-E2285*$B$8)</x:f>
        <x:v>865.0379999999999</x:v>
      </x:c>
    </x:row>
    <x:row r="2286">
      <x:c r="A2286" t="n">
        <x:v>5381</x:v>
      </x:c>
      <x:c r="B2286" t="str">
        <x:v>2024-12</x:v>
      </x:c>
      <x:c r="C2286" t="str">
        <x:v>Salaried</x:v>
      </x:c>
      <x:c r="D2286" t="str">
        <x:v>Group A</x:v>
      </x:c>
      <x:c r="E2286" s="26" t="n">
        <x:v>15714.98</x:v>
      </x:c>
      <x:c r="F2286" t="n">
        <x:v>1</x:v>
      </x:c>
      <x:c r="G2286" s="25" t="n">
        <x:v>0.205267</x:v>
      </x:c>
      <x:c r="H2286" t="n">
        <x:f>IF(G2286&lt;$B$6,1,0)</x:f>
        <x:v>0</x:v>
      </x:c>
      <x:c r="I2286" s="26" t="n">
        <x:f>H2286*IF(F2286=0,E2286*$B$7,-E2286*$B$8)</x:f>
        <x:v>0</x:v>
      </x:c>
    </x:row>
    <x:row r="2287">
      <x:c r="A2287" t="n">
        <x:v>5392</x:v>
      </x:c>
      <x:c r="B2287" t="str">
        <x:v>2024-12</x:v>
      </x:c>
      <x:c r="C2287" t="str">
        <x:v>Salaried</x:v>
      </x:c>
      <x:c r="D2287" t="str">
        <x:v>Group A</x:v>
      </x:c>
      <x:c r="E2287" s="26" t="n">
        <x:v>5712.1</x:v>
      </x:c>
      <x:c r="F2287" t="n">
        <x:v>0</x:v>
      </x:c>
      <x:c r="G2287" s="25" t="n">
        <x:v>0.119942</x:v>
      </x:c>
      <x:c r="H2287" t="n">
        <x:f>IF(G2287&lt;$B$6,1,0)</x:f>
        <x:v>1</x:v>
      </x:c>
      <x:c r="I2287" s="26" t="n">
        <x:f>H2287*IF(F2287=0,E2287*$B$7,-E2287*$B$8)</x:f>
        <x:v>685.452</x:v>
      </x:c>
    </x:row>
    <x:row r="2288">
      <x:c r="A2288" t="n">
        <x:v>5402</x:v>
      </x:c>
      <x:c r="B2288" t="str">
        <x:v>2024-12</x:v>
      </x:c>
      <x:c r="C2288" t="str">
        <x:v>Salaried</x:v>
      </x:c>
      <x:c r="D2288" t="str">
        <x:v>Group B</x:v>
      </x:c>
      <x:c r="E2288" s="26" t="n">
        <x:v>11544.15</x:v>
      </x:c>
      <x:c r="F2288" t="n">
        <x:v>0</x:v>
      </x:c>
      <x:c r="G2288" s="25" t="n">
        <x:v>0.066039</x:v>
      </x:c>
      <x:c r="H2288" t="n">
        <x:f>IF(G2288&lt;$B$6,1,0)</x:f>
        <x:v>1</x:v>
      </x:c>
      <x:c r="I2288" s="26" t="n">
        <x:f>H2288*IF(F2288=0,E2288*$B$7,-E2288*$B$8)</x:f>
        <x:v>1385.298</x:v>
      </x:c>
    </x:row>
    <x:row r="2289">
      <x:c r="A2289" t="n">
        <x:v>5430</x:v>
      </x:c>
      <x:c r="B2289" t="str">
        <x:v>2024-12</x:v>
      </x:c>
      <x:c r="C2289" t="str">
        <x:v>Salaried</x:v>
      </x:c>
      <x:c r="D2289" t="str">
        <x:v>Group B</x:v>
      </x:c>
      <x:c r="E2289" s="26" t="n">
        <x:v>11457.95</x:v>
      </x:c>
      <x:c r="F2289" t="n">
        <x:v>0</x:v>
      </x:c>
      <x:c r="G2289" s="25" t="n">
        <x:v>0.036824</x:v>
      </x:c>
      <x:c r="H2289" t="n">
        <x:f>IF(G2289&lt;$B$6,1,0)</x:f>
        <x:v>1</x:v>
      </x:c>
      <x:c r="I2289" s="26" t="n">
        <x:f>H2289*IF(F2289=0,E2289*$B$7,-E2289*$B$8)</x:f>
        <x:v>1374.954</x:v>
      </x:c>
    </x:row>
    <x:row r="2290">
      <x:c r="A2290" t="n">
        <x:v>5445</x:v>
      </x:c>
      <x:c r="B2290" t="str">
        <x:v>2024-12</x:v>
      </x:c>
      <x:c r="C2290" t="str">
        <x:v>Self employed</x:v>
      </x:c>
      <x:c r="D2290" t="str">
        <x:v>Group A</x:v>
      </x:c>
      <x:c r="E2290" s="26" t="n">
        <x:v>13485.01</x:v>
      </x:c>
      <x:c r="F2290" t="n">
        <x:v>0</x:v>
      </x:c>
      <x:c r="G2290" s="25" t="n">
        <x:v>0.043733</x:v>
      </x:c>
      <x:c r="H2290" t="n">
        <x:f>IF(G2290&lt;$B$6,1,0)</x:f>
        <x:v>1</x:v>
      </x:c>
      <x:c r="I2290" s="26" t="n">
        <x:f>H2290*IF(F2290=0,E2290*$B$7,-E2290*$B$8)</x:f>
        <x:v>1618.2012</x:v>
      </x:c>
    </x:row>
    <x:row r="2291">
      <x:c r="A2291" t="n">
        <x:v>5512</x:v>
      </x:c>
      <x:c r="B2291" t="str">
        <x:v>2024-12</x:v>
      </x:c>
      <x:c r="C2291" t="str">
        <x:v>Self employed</x:v>
      </x:c>
      <x:c r="D2291" t="str">
        <x:v>Group B</x:v>
      </x:c>
      <x:c r="E2291" s="26" t="n">
        <x:v>34270.62</x:v>
      </x:c>
      <x:c r="F2291" t="n">
        <x:v>0</x:v>
      </x:c>
      <x:c r="G2291" s="25" t="n">
        <x:v>0.28108</x:v>
      </x:c>
      <x:c r="H2291" t="n">
        <x:f>IF(G2291&lt;$B$6,1,0)</x:f>
        <x:v>0</x:v>
      </x:c>
      <x:c r="I2291" s="26" t="n">
        <x:f>H2291*IF(F2291=0,E2291*$B$7,-E2291*$B$8)</x:f>
        <x:v>0</x:v>
      </x:c>
    </x:row>
    <x:row r="2292">
      <x:c r="A2292" t="n">
        <x:v>5572</x:v>
      </x:c>
      <x:c r="B2292" t="str">
        <x:v>2024-12</x:v>
      </x:c>
      <x:c r="C2292" t="str">
        <x:v>Salaried</x:v>
      </x:c>
      <x:c r="D2292" t="str">
        <x:v>Group A</x:v>
      </x:c>
      <x:c r="E2292" s="26" t="n">
        <x:v>9132.04</x:v>
      </x:c>
      <x:c r="F2292" t="n">
        <x:v>0</x:v>
      </x:c>
      <x:c r="G2292" s="25" t="n">
        <x:v>0.525121</x:v>
      </x:c>
      <x:c r="H2292" t="n">
        <x:f>IF(G2292&lt;$B$6,1,0)</x:f>
        <x:v>0</x:v>
      </x:c>
      <x:c r="I2292" s="26" t="n">
        <x:f>H2292*IF(F2292=0,E2292*$B$7,-E2292*$B$8)</x:f>
        <x:v>0</x:v>
      </x:c>
    </x:row>
    <x:row r="2293">
      <x:c r="A2293" t="n">
        <x:v>5577</x:v>
      </x:c>
      <x:c r="B2293" t="str">
        <x:v>2024-12</x:v>
      </x:c>
      <x:c r="C2293" t="str">
        <x:v>Salaried</x:v>
      </x:c>
      <x:c r="D2293" t="str">
        <x:v>Group B</x:v>
      </x:c>
      <x:c r="E2293" s="26" t="n">
        <x:v>3295.69</x:v>
      </x:c>
      <x:c r="F2293" t="n">
        <x:v>0</x:v>
      </x:c>
      <x:c r="G2293" s="25" t="n">
        <x:v>0.06087</x:v>
      </x:c>
      <x:c r="H2293" t="n">
        <x:f>IF(G2293&lt;$B$6,1,0)</x:f>
        <x:v>1</x:v>
      </x:c>
      <x:c r="I2293" s="26" t="n">
        <x:f>H2293*IF(F2293=0,E2293*$B$7,-E2293*$B$8)</x:f>
        <x:v>395.4828</x:v>
      </x:c>
    </x:row>
    <x:row r="2294">
      <x:c r="A2294" t="n">
        <x:v>5591</x:v>
      </x:c>
      <x:c r="B2294" t="str">
        <x:v>2024-12</x:v>
      </x:c>
      <x:c r="C2294" t="str">
        <x:v>Salaried</x:v>
      </x:c>
      <x:c r="D2294" t="str">
        <x:v>Group B</x:v>
      </x:c>
      <x:c r="E2294" s="26" t="n">
        <x:v>14820.62</x:v>
      </x:c>
      <x:c r="F2294" t="n">
        <x:v>1</x:v>
      </x:c>
      <x:c r="G2294" s="25" t="n">
        <x:v>0.637675</x:v>
      </x:c>
      <x:c r="H2294" t="n">
        <x:f>IF(G2294&lt;$B$6,1,0)</x:f>
        <x:v>0</x:v>
      </x:c>
      <x:c r="I2294" s="26" t="n">
        <x:f>H2294*IF(F2294=0,E2294*$B$7,-E2294*$B$8)</x:f>
        <x:v>0</x:v>
      </x:c>
    </x:row>
    <x:row r="2295">
      <x:c r="A2295" t="n">
        <x:v>5603</x:v>
      </x:c>
      <x:c r="B2295" t="str">
        <x:v>2024-12</x:v>
      </x:c>
      <x:c r="C2295" t="str">
        <x:v>Self employed</x:v>
      </x:c>
      <x:c r="D2295" t="str">
        <x:v>Group A</x:v>
      </x:c>
      <x:c r="E2295" s="26" t="n">
        <x:v>26475.82</x:v>
      </x:c>
      <x:c r="F2295" t="n">
        <x:v>0</x:v>
      </x:c>
      <x:c r="G2295" s="25" t="n">
        <x:v>0.144919</x:v>
      </x:c>
      <x:c r="H2295" t="n">
        <x:f>IF(G2295&lt;$B$6,1,0)</x:f>
        <x:v>1</x:v>
      </x:c>
      <x:c r="I2295" s="26" t="n">
        <x:f>H2295*IF(F2295=0,E2295*$B$7,-E2295*$B$8)</x:f>
        <x:v>3177.0984</x:v>
      </x:c>
    </x:row>
    <x:row r="2296">
      <x:c r="A2296" t="n">
        <x:v>5666</x:v>
      </x:c>
      <x:c r="B2296" t="str">
        <x:v>2024-12</x:v>
      </x:c>
      <x:c r="C2296" t="str">
        <x:v>Salaried</x:v>
      </x:c>
      <x:c r="D2296" t="str">
        <x:v>Group B</x:v>
      </x:c>
      <x:c r="E2296" s="26" t="n">
        <x:v>9343.99</x:v>
      </x:c>
      <x:c r="F2296" t="n">
        <x:v>0</x:v>
      </x:c>
      <x:c r="G2296" s="25" t="n">
        <x:v>0.074229</x:v>
      </x:c>
      <x:c r="H2296" t="n">
        <x:f>IF(G2296&lt;$B$6,1,0)</x:f>
        <x:v>1</x:v>
      </x:c>
      <x:c r="I2296" s="26" t="n">
        <x:f>H2296*IF(F2296=0,E2296*$B$7,-E2296*$B$8)</x:f>
        <x:v>1121.2787999999998</x:v>
      </x:c>
    </x:row>
    <x:row r="2297">
      <x:c r="A2297" t="n">
        <x:v>5668</x:v>
      </x:c>
      <x:c r="B2297" t="str">
        <x:v>2024-12</x:v>
      </x:c>
      <x:c r="C2297" t="str">
        <x:v>Salaried</x:v>
      </x:c>
      <x:c r="D2297" t="str">
        <x:v>Group B</x:v>
      </x:c>
      <x:c r="E2297" s="26" t="n">
        <x:v>23746.95</x:v>
      </x:c>
      <x:c r="F2297" t="n">
        <x:v>0</x:v>
      </x:c>
      <x:c r="G2297" s="25" t="n">
        <x:v>0.108552</x:v>
      </x:c>
      <x:c r="H2297" t="n">
        <x:f>IF(G2297&lt;$B$6,1,0)</x:f>
        <x:v>1</x:v>
      </x:c>
      <x:c r="I2297" s="26" t="n">
        <x:f>H2297*IF(F2297=0,E2297*$B$7,-E2297*$B$8)</x:f>
        <x:v>2849.634</x:v>
      </x:c>
    </x:row>
    <x:row r="2298">
      <x:c r="A2298" t="n">
        <x:v>5686</x:v>
      </x:c>
      <x:c r="B2298" t="str">
        <x:v>2024-12</x:v>
      </x:c>
      <x:c r="C2298" t="str">
        <x:v>Salaried</x:v>
      </x:c>
      <x:c r="D2298" t="str">
        <x:v>Group A</x:v>
      </x:c>
      <x:c r="E2298" s="26" t="n">
        <x:v>11487.7</x:v>
      </x:c>
      <x:c r="F2298" t="n">
        <x:v>1</x:v>
      </x:c>
      <x:c r="G2298" s="25" t="n">
        <x:v>0.303826</x:v>
      </x:c>
      <x:c r="H2298" t="n">
        <x:f>IF(G2298&lt;$B$6,1,0)</x:f>
        <x:v>0</x:v>
      </x:c>
      <x:c r="I2298" s="26" t="n">
        <x:f>H2298*IF(F2298=0,E2298*$B$7,-E2298*$B$8)</x:f>
        <x:v>0</x:v>
      </x:c>
    </x:row>
    <x:row r="2299">
      <x:c r="A2299" t="n">
        <x:v>5717</x:v>
      </x:c>
      <x:c r="B2299" t="str">
        <x:v>2024-12</x:v>
      </x:c>
      <x:c r="C2299" t="str">
        <x:v>Salaried</x:v>
      </x:c>
      <x:c r="D2299" t="str">
        <x:v>Group A</x:v>
      </x:c>
      <x:c r="E2299" s="26" t="n">
        <x:v>7871.06</x:v>
      </x:c>
      <x:c r="F2299" t="n">
        <x:v>0</x:v>
      </x:c>
      <x:c r="G2299" s="25" t="n">
        <x:v>0.086103</x:v>
      </x:c>
      <x:c r="H2299" t="n">
        <x:f>IF(G2299&lt;$B$6,1,0)</x:f>
        <x:v>1</x:v>
      </x:c>
      <x:c r="I2299" s="26" t="n">
        <x:f>H2299*IF(F2299=0,E2299*$B$7,-E2299*$B$8)</x:f>
        <x:v>944.5272</x:v>
      </x:c>
    </x:row>
    <x:row r="2300">
      <x:c r="A2300" t="n">
        <x:v>5728</x:v>
      </x:c>
      <x:c r="B2300" t="str">
        <x:v>2024-12</x:v>
      </x:c>
      <x:c r="C2300" t="str">
        <x:v>Contract</x:v>
      </x:c>
      <x:c r="D2300" t="str">
        <x:v>Group B</x:v>
      </x:c>
      <x:c r="E2300" s="26" t="n">
        <x:v>22799.69</x:v>
      </x:c>
      <x:c r="F2300" t="n">
        <x:v>0</x:v>
      </x:c>
      <x:c r="G2300" s="25" t="n">
        <x:v>0.126732</x:v>
      </x:c>
      <x:c r="H2300" t="n">
        <x:f>IF(G2300&lt;$B$6,1,0)</x:f>
        <x:v>1</x:v>
      </x:c>
      <x:c r="I2300" s="26" t="n">
        <x:f>H2300*IF(F2300=0,E2300*$B$7,-E2300*$B$8)</x:f>
        <x:v>2735.9628</x:v>
      </x:c>
    </x:row>
    <x:row r="2301">
      <x:c r="A2301" t="n">
        <x:v>5750</x:v>
      </x:c>
      <x:c r="B2301" t="str">
        <x:v>2024-12</x:v>
      </x:c>
      <x:c r="C2301" t="str">
        <x:v>Salaried</x:v>
      </x:c>
      <x:c r="D2301" t="str">
        <x:v>Group B</x:v>
      </x:c>
      <x:c r="E2301" s="26" t="n">
        <x:v>3324.3</x:v>
      </x:c>
      <x:c r="F2301" t="n">
        <x:v>0</x:v>
      </x:c>
      <x:c r="G2301" s="25" t="n">
        <x:v>0.043699</x:v>
      </x:c>
      <x:c r="H2301" t="n">
        <x:f>IF(G2301&lt;$B$6,1,0)</x:f>
        <x:v>1</x:v>
      </x:c>
      <x:c r="I2301" s="26" t="n">
        <x:f>H2301*IF(F2301=0,E2301*$B$7,-E2301*$B$8)</x:f>
        <x:v>398.916</x:v>
      </x:c>
    </x:row>
    <x:row r="2302">
      <x:c r="A2302" t="n">
        <x:v>5774</x:v>
      </x:c>
      <x:c r="B2302" t="str">
        <x:v>2024-12</x:v>
      </x:c>
      <x:c r="C2302" t="str">
        <x:v>Salaried</x:v>
      </x:c>
      <x:c r="D2302" t="str">
        <x:v>Group B</x:v>
      </x:c>
      <x:c r="E2302" s="26" t="n">
        <x:v>21044.47</x:v>
      </x:c>
      <x:c r="F2302" t="n">
        <x:v>1</x:v>
      </x:c>
      <x:c r="G2302" s="25" t="n">
        <x:v>0.082694</x:v>
      </x:c>
      <x:c r="H2302" t="n">
        <x:f>IF(G2302&lt;$B$6,1,0)</x:f>
        <x:v>1</x:v>
      </x:c>
      <x:c r="I2302" s="26" t="n">
        <x:f>H2302*IF(F2302=0,E2302*$B$7,-E2302*$B$8)</x:f>
        <x:v>-13678.9055</x:v>
      </x:c>
    </x:row>
    <x:row r="2303">
      <x:c r="A2303" t="n">
        <x:v>5786</x:v>
      </x:c>
      <x:c r="B2303" t="str">
        <x:v>2024-12</x:v>
      </x:c>
      <x:c r="C2303" t="str">
        <x:v>Salaried</x:v>
      </x:c>
      <x:c r="D2303" t="str">
        <x:v>Group B</x:v>
      </x:c>
      <x:c r="E2303" s="26" t="n">
        <x:v>13882.51</x:v>
      </x:c>
      <x:c r="F2303" t="n">
        <x:v>0</x:v>
      </x:c>
      <x:c r="G2303" s="25" t="n">
        <x:v>0.364241</x:v>
      </x:c>
      <x:c r="H2303" t="n">
        <x:f>IF(G2303&lt;$B$6,1,0)</x:f>
        <x:v>0</x:v>
      </x:c>
      <x:c r="I2303" s="26" t="n">
        <x:f>H2303*IF(F2303=0,E2303*$B$7,-E2303*$B$8)</x:f>
        <x:v>0</x:v>
      </x:c>
    </x:row>
    <x:row r="2304">
      <x:c r="A2304" t="n">
        <x:v>5790</x:v>
      </x:c>
      <x:c r="B2304" t="str">
        <x:v>2024-12</x:v>
      </x:c>
      <x:c r="C2304" t="str">
        <x:v>Salaried</x:v>
      </x:c>
      <x:c r="D2304" t="str">
        <x:v>Group B</x:v>
      </x:c>
      <x:c r="E2304" s="26" t="n">
        <x:v>9231.23</x:v>
      </x:c>
      <x:c r="F2304" t="n">
        <x:v>1</x:v>
      </x:c>
      <x:c r="G2304" s="25" t="n">
        <x:v>0.661712</x:v>
      </x:c>
      <x:c r="H2304" t="n">
        <x:f>IF(G2304&lt;$B$6,1,0)</x:f>
        <x:v>0</x:v>
      </x:c>
      <x:c r="I2304" s="26" t="n">
        <x:f>H2304*IF(F2304=0,E2304*$B$7,-E2304*$B$8)</x:f>
        <x:v>0</x:v>
      </x:c>
    </x:row>
    <x:row r="2305">
      <x:c r="A2305" t="n">
        <x:v>5792</x:v>
      </x:c>
      <x:c r="B2305" t="str">
        <x:v>2024-12</x:v>
      </x:c>
      <x:c r="C2305" t="str">
        <x:v>Salaried</x:v>
      </x:c>
      <x:c r="D2305" t="str">
        <x:v>Group A</x:v>
      </x:c>
      <x:c r="E2305" s="26" t="n">
        <x:v>6407.06</x:v>
      </x:c>
      <x:c r="F2305" t="n">
        <x:v>1</x:v>
      </x:c>
      <x:c r="G2305" s="25" t="n">
        <x:v>0.122755</x:v>
      </x:c>
      <x:c r="H2305" t="n">
        <x:f>IF(G2305&lt;$B$6,1,0)</x:f>
        <x:v>1</x:v>
      </x:c>
      <x:c r="I2305" s="26" t="n">
        <x:f>H2305*IF(F2305=0,E2305*$B$7,-E2305*$B$8)</x:f>
        <x:v>-4164.589000000001</x:v>
      </x:c>
    </x:row>
    <x:row r="2306">
      <x:c r="A2306" t="n">
        <x:v>5794</x:v>
      </x:c>
      <x:c r="B2306" t="str">
        <x:v>2024-12</x:v>
      </x:c>
      <x:c r="C2306" t="str">
        <x:v>Self employed</x:v>
      </x:c>
      <x:c r="D2306" t="str">
        <x:v>Group A</x:v>
      </x:c>
      <x:c r="E2306" s="26" t="n">
        <x:v>14774.1</x:v>
      </x:c>
      <x:c r="F2306" t="n">
        <x:v>0</x:v>
      </x:c>
      <x:c r="G2306" s="25" t="n">
        <x:v>0.234988</x:v>
      </x:c>
      <x:c r="H2306" t="n">
        <x:f>IF(G2306&lt;$B$6,1,0)</x:f>
        <x:v>0</x:v>
      </x:c>
      <x:c r="I2306" s="26" t="n">
        <x:f>H2306*IF(F2306=0,E2306*$B$7,-E2306*$B$8)</x:f>
        <x:v>0</x:v>
      </x:c>
    </x:row>
    <x:row r="2307">
      <x:c r="A2307" t="n">
        <x:v>5809</x:v>
      </x:c>
      <x:c r="B2307" t="str">
        <x:v>2024-12</x:v>
      </x:c>
      <x:c r="C2307" t="str">
        <x:v>Contract</x:v>
      </x:c>
      <x:c r="D2307" t="str">
        <x:v>Group A</x:v>
      </x:c>
      <x:c r="E2307" s="26" t="n">
        <x:v>18389.71</x:v>
      </x:c>
      <x:c r="F2307" t="n">
        <x:v>1</x:v>
      </x:c>
      <x:c r="G2307" s="25" t="n">
        <x:v>0.6393</x:v>
      </x:c>
      <x:c r="H2307" t="n">
        <x:f>IF(G2307&lt;$B$6,1,0)</x:f>
        <x:v>0</x:v>
      </x:c>
      <x:c r="I2307" s="26" t="n">
        <x:f>H2307*IF(F2307=0,E2307*$B$7,-E2307*$B$8)</x:f>
        <x:v>0</x:v>
      </x:c>
    </x:row>
    <x:row r="2308">
      <x:c r="A2308" t="n">
        <x:v>5828</x:v>
      </x:c>
      <x:c r="B2308" t="str">
        <x:v>2024-12</x:v>
      </x:c>
      <x:c r="C2308" t="str">
        <x:v>Self employed</x:v>
      </x:c>
      <x:c r="D2308" t="str">
        <x:v>Group A</x:v>
      </x:c>
      <x:c r="E2308" s="26" t="n">
        <x:v>6343.21</x:v>
      </x:c>
      <x:c r="F2308" t="n">
        <x:v>0</x:v>
      </x:c>
      <x:c r="G2308" s="25" t="n">
        <x:v>0.084175</x:v>
      </x:c>
      <x:c r="H2308" t="n">
        <x:f>IF(G2308&lt;$B$6,1,0)</x:f>
        <x:v>1</x:v>
      </x:c>
      <x:c r="I2308" s="26" t="n">
        <x:f>H2308*IF(F2308=0,E2308*$B$7,-E2308*$B$8)</x:f>
        <x:v>761.1852</x:v>
      </x:c>
    </x:row>
    <x:row r="2309">
      <x:c r="A2309" t="n">
        <x:v>5868</x:v>
      </x:c>
      <x:c r="B2309" t="str">
        <x:v>2024-12</x:v>
      </x:c>
      <x:c r="C2309" t="str">
        <x:v>Salaried</x:v>
      </x:c>
      <x:c r="D2309" t="str">
        <x:v>Group B</x:v>
      </x:c>
      <x:c r="E2309" s="26" t="n">
        <x:v>6629.51</x:v>
      </x:c>
      <x:c r="F2309" t="n">
        <x:v>1</x:v>
      </x:c>
      <x:c r="G2309" s="25" t="n">
        <x:v>0.05771</x:v>
      </x:c>
      <x:c r="H2309" t="n">
        <x:f>IF(G2309&lt;$B$6,1,0)</x:f>
        <x:v>1</x:v>
      </x:c>
      <x:c r="I2309" s="26" t="n">
        <x:f>H2309*IF(F2309=0,E2309*$B$7,-E2309*$B$8)</x:f>
        <x:v>-4309.181500000001</x:v>
      </x:c>
    </x:row>
    <x:row r="2310">
      <x:c r="A2310" t="n">
        <x:v>5885</x:v>
      </x:c>
      <x:c r="B2310" t="str">
        <x:v>2024-12</x:v>
      </x:c>
      <x:c r="C2310" t="str">
        <x:v>Salaried</x:v>
      </x:c>
      <x:c r="D2310" t="str">
        <x:v>Group B</x:v>
      </x:c>
      <x:c r="E2310" s="26" t="n">
        <x:v>51302.49</x:v>
      </x:c>
      <x:c r="F2310" t="n">
        <x:v>0</x:v>
      </x:c>
      <x:c r="G2310" s="25" t="n">
        <x:v>0.031333</x:v>
      </x:c>
      <x:c r="H2310" t="n">
        <x:f>IF(G2310&lt;$B$6,1,0)</x:f>
        <x:v>1</x:v>
      </x:c>
      <x:c r="I2310" s="26" t="n">
        <x:f>H2310*IF(F2310=0,E2310*$B$7,-E2310*$B$8)</x:f>
        <x:v>6156.2988</x:v>
      </x:c>
    </x:row>
    <x:row r="2311">
      <x:c r="A2311" t="n">
        <x:v>5886</x:v>
      </x:c>
      <x:c r="B2311" t="str">
        <x:v>2024-12</x:v>
      </x:c>
      <x:c r="C2311" t="str">
        <x:v>Self employed</x:v>
      </x:c>
      <x:c r="D2311" t="str">
        <x:v>Group B</x:v>
      </x:c>
      <x:c r="E2311" s="26" t="n">
        <x:v>8979.1</x:v>
      </x:c>
      <x:c r="F2311" t="n">
        <x:v>0</x:v>
      </x:c>
      <x:c r="G2311" s="25" t="n">
        <x:v>0.096557</x:v>
      </x:c>
      <x:c r="H2311" t="n">
        <x:f>IF(G2311&lt;$B$6,1,0)</x:f>
        <x:v>1</x:v>
      </x:c>
      <x:c r="I2311" s="26" t="n">
        <x:f>H2311*IF(F2311=0,E2311*$B$7,-E2311*$B$8)</x:f>
        <x:v>1077.492</x:v>
      </x:c>
    </x:row>
    <x:row r="2312">
      <x:c r="A2312" t="n">
        <x:v>5890</x:v>
      </x:c>
      <x:c r="B2312" t="str">
        <x:v>2024-12</x:v>
      </x:c>
      <x:c r="C2312" t="str">
        <x:v>Salaried</x:v>
      </x:c>
      <x:c r="D2312" t="str">
        <x:v>Group A</x:v>
      </x:c>
      <x:c r="E2312" s="26" t="n">
        <x:v>11839.02</x:v>
      </x:c>
      <x:c r="F2312" t="n">
        <x:v>1</x:v>
      </x:c>
      <x:c r="G2312" s="25" t="n">
        <x:v>0.473528</x:v>
      </x:c>
      <x:c r="H2312" t="n">
        <x:f>IF(G2312&lt;$B$6,1,0)</x:f>
        <x:v>0</x:v>
      </x:c>
      <x:c r="I2312" s="26" t="n">
        <x:f>H2312*IF(F2312=0,E2312*$B$7,-E2312*$B$8)</x:f>
        <x:v>0</x:v>
      </x:c>
    </x:row>
    <x:row r="2313">
      <x:c r="A2313" t="n">
        <x:v>5913</x:v>
      </x:c>
      <x:c r="B2313" t="str">
        <x:v>2024-12</x:v>
      </x:c>
      <x:c r="C2313" t="str">
        <x:v>Salaried</x:v>
      </x:c>
      <x:c r="D2313" t="str">
        <x:v>Group A</x:v>
      </x:c>
      <x:c r="E2313" s="26" t="n">
        <x:v>25514.67</x:v>
      </x:c>
      <x:c r="F2313" t="n">
        <x:v>1</x:v>
      </x:c>
      <x:c r="G2313" s="25" t="n">
        <x:v>0.631305</x:v>
      </x:c>
      <x:c r="H2313" t="n">
        <x:f>IF(G2313&lt;$B$6,1,0)</x:f>
        <x:v>0</x:v>
      </x:c>
      <x:c r="I2313" s="26" t="n">
        <x:f>H2313*IF(F2313=0,E2313*$B$7,-E2313*$B$8)</x:f>
        <x:v>0</x:v>
      </x:c>
    </x:row>
    <x:row r="2314">
      <x:c r="A2314" t="n">
        <x:v>5920</x:v>
      </x:c>
      <x:c r="B2314" t="str">
        <x:v>2024-12</x:v>
      </x:c>
      <x:c r="C2314" t="str">
        <x:v>Salaried</x:v>
      </x:c>
      <x:c r="D2314" t="str">
        <x:v>Group A</x:v>
      </x:c>
      <x:c r="E2314" s="26" t="n">
        <x:v>20932.28</x:v>
      </x:c>
      <x:c r="F2314" t="n">
        <x:v>1</x:v>
      </x:c>
      <x:c r="G2314" s="25" t="n">
        <x:v>0.236241</x:v>
      </x:c>
      <x:c r="H2314" t="n">
        <x:f>IF(G2314&lt;$B$6,1,0)</x:f>
        <x:v>0</x:v>
      </x:c>
      <x:c r="I2314" s="26" t="n">
        <x:f>H2314*IF(F2314=0,E2314*$B$7,-E2314*$B$8)</x:f>
        <x:v>0</x:v>
      </x:c>
    </x:row>
    <x:row r="2315">
      <x:c r="A2315" t="n">
        <x:v>5980</x:v>
      </x:c>
      <x:c r="B2315" t="str">
        <x:v>2024-12</x:v>
      </x:c>
      <x:c r="C2315" t="str">
        <x:v>Salaried</x:v>
      </x:c>
      <x:c r="D2315" t="str">
        <x:v>Group A</x:v>
      </x:c>
      <x:c r="E2315" s="26" t="n">
        <x:v>15400.24</x:v>
      </x:c>
      <x:c r="F2315" t="n">
        <x:v>0</x:v>
      </x:c>
      <x:c r="G2315" s="25" t="n">
        <x:v>0.034951</x:v>
      </x:c>
      <x:c r="H2315" t="n">
        <x:f>IF(G2315&lt;$B$6,1,0)</x:f>
        <x:v>1</x:v>
      </x:c>
      <x:c r="I2315" s="26" t="n">
        <x:f>H2315*IF(F2315=0,E2315*$B$7,-E2315*$B$8)</x:f>
        <x:v>1848.0287999999998</x:v>
      </x:c>
    </x:row>
    <x:row r="2316">
      <x:c r="A2316" t="n">
        <x:v>6010</x:v>
      </x:c>
      <x:c r="B2316" t="str">
        <x:v>2024-12</x:v>
      </x:c>
      <x:c r="C2316" t="str">
        <x:v>Salaried</x:v>
      </x:c>
      <x:c r="D2316" t="str">
        <x:v>Group B</x:v>
      </x:c>
      <x:c r="E2316" s="26" t="n">
        <x:v>8884.12</x:v>
      </x:c>
      <x:c r="F2316" t="n">
        <x:v>0</x:v>
      </x:c>
      <x:c r="G2316" s="25" t="n">
        <x:v>0.05523</x:v>
      </x:c>
      <x:c r="H2316" t="n">
        <x:f>IF(G2316&lt;$B$6,1,0)</x:f>
        <x:v>1</x:v>
      </x:c>
      <x:c r="I2316" s="26" t="n">
        <x:f>H2316*IF(F2316=0,E2316*$B$7,-E2316*$B$8)</x:f>
        <x:v>1066.0944</x:v>
      </x:c>
    </x:row>
    <x:row r="2317">
      <x:c r="A2317" t="n">
        <x:v>6029</x:v>
      </x:c>
      <x:c r="B2317" t="str">
        <x:v>2024-12</x:v>
      </x:c>
      <x:c r="C2317" t="str">
        <x:v>Salaried</x:v>
      </x:c>
      <x:c r="D2317" t="str">
        <x:v>Group B</x:v>
      </x:c>
      <x:c r="E2317" s="26" t="n">
        <x:v>31964.4</x:v>
      </x:c>
      <x:c r="F2317" t="n">
        <x:v>0</x:v>
      </x:c>
      <x:c r="G2317" s="25" t="n">
        <x:v>0.018884</x:v>
      </x:c>
      <x:c r="H2317" t="n">
        <x:f>IF(G2317&lt;$B$6,1,0)</x:f>
        <x:v>1</x:v>
      </x:c>
      <x:c r="I2317" s="26" t="n">
        <x:f>H2317*IF(F2317=0,E2317*$B$7,-E2317*$B$8)</x:f>
        <x:v>3835.728</x:v>
      </x:c>
    </x:row>
    <x:row r="2318">
      <x:c r="A2318" t="n">
        <x:v>6050</x:v>
      </x:c>
      <x:c r="B2318" t="str">
        <x:v>2024-12</x:v>
      </x:c>
      <x:c r="C2318" t="str">
        <x:v>Salaried</x:v>
      </x:c>
      <x:c r="D2318" t="str">
        <x:v>Group A</x:v>
      </x:c>
      <x:c r="E2318" s="26" t="n">
        <x:v>4477.42</x:v>
      </x:c>
      <x:c r="F2318" t="n">
        <x:v>0</x:v>
      </x:c>
      <x:c r="G2318" s="25" t="n">
        <x:v>0.306853</x:v>
      </x:c>
      <x:c r="H2318" t="n">
        <x:f>IF(G2318&lt;$B$6,1,0)</x:f>
        <x:v>0</x:v>
      </x:c>
      <x:c r="I2318" s="26" t="n">
        <x:f>H2318*IF(F2318=0,E2318*$B$7,-E2318*$B$8)</x:f>
        <x:v>0</x:v>
      </x:c>
    </x:row>
    <x:row r="2319">
      <x:c r="A2319" t="n">
        <x:v>6099</x:v>
      </x:c>
      <x:c r="B2319" t="str">
        <x:v>2024-12</x:v>
      </x:c>
      <x:c r="C2319" t="str">
        <x:v>Salaried</x:v>
      </x:c>
      <x:c r="D2319" t="str">
        <x:v>Group B</x:v>
      </x:c>
      <x:c r="E2319" s="26" t="n">
        <x:v>28307.65</x:v>
      </x:c>
      <x:c r="F2319" t="n">
        <x:v>0</x:v>
      </x:c>
      <x:c r="G2319" s="25" t="n">
        <x:v>0.338128</x:v>
      </x:c>
      <x:c r="H2319" t="n">
        <x:f>IF(G2319&lt;$B$6,1,0)</x:f>
        <x:v>0</x:v>
      </x:c>
      <x:c r="I2319" s="26" t="n">
        <x:f>H2319*IF(F2319=0,E2319*$B$7,-E2319*$B$8)</x:f>
        <x:v>0</x:v>
      </x:c>
    </x:row>
    <x:row r="2320">
      <x:c r="A2320" t="n">
        <x:v>6115</x:v>
      </x:c>
      <x:c r="B2320" t="str">
        <x:v>2024-12</x:v>
      </x:c>
      <x:c r="C2320" t="str">
        <x:v>Self employed</x:v>
      </x:c>
      <x:c r="D2320" t="str">
        <x:v>Group B</x:v>
      </x:c>
      <x:c r="E2320" s="26" t="n">
        <x:v>11268.95</x:v>
      </x:c>
      <x:c r="F2320" t="n">
        <x:v>1</x:v>
      </x:c>
      <x:c r="G2320" s="25" t="n">
        <x:v>0.831587</x:v>
      </x:c>
      <x:c r="H2320" t="n">
        <x:f>IF(G2320&lt;$B$6,1,0)</x:f>
        <x:v>0</x:v>
      </x:c>
      <x:c r="I2320" s="26" t="n">
        <x:f>H2320*IF(F2320=0,E2320*$B$7,-E2320*$B$8)</x:f>
        <x:v>0</x:v>
      </x:c>
    </x:row>
    <x:row r="2321">
      <x:c r="A2321" t="n">
        <x:v>6161</x:v>
      </x:c>
      <x:c r="B2321" t="str">
        <x:v>2024-12</x:v>
      </x:c>
      <x:c r="C2321" t="str">
        <x:v>Salaried</x:v>
      </x:c>
      <x:c r="D2321" t="str">
        <x:v>Group A</x:v>
      </x:c>
      <x:c r="E2321" s="26" t="n">
        <x:v>11336.55</x:v>
      </x:c>
      <x:c r="F2321" t="n">
        <x:v>0</x:v>
      </x:c>
      <x:c r="G2321" s="25" t="n">
        <x:v>0.085996</x:v>
      </x:c>
      <x:c r="H2321" t="n">
        <x:f>IF(G2321&lt;$B$6,1,0)</x:f>
        <x:v>1</x:v>
      </x:c>
      <x:c r="I2321" s="26" t="n">
        <x:f>H2321*IF(F2321=0,E2321*$B$7,-E2321*$B$8)</x:f>
        <x:v>1360.386</x:v>
      </x:c>
    </x:row>
    <x:row r="2322">
      <x:c r="A2322" t="n">
        <x:v>6166</x:v>
      </x:c>
      <x:c r="B2322" t="str">
        <x:v>2024-12</x:v>
      </x:c>
      <x:c r="C2322" t="str">
        <x:v>Contract</x:v>
      </x:c>
      <x:c r="D2322" t="str">
        <x:v>Group B</x:v>
      </x:c>
      <x:c r="E2322" s="26" t="n">
        <x:v>25938.36</x:v>
      </x:c>
      <x:c r="F2322" t="n">
        <x:v>0</x:v>
      </x:c>
      <x:c r="G2322" s="25" t="n">
        <x:v>0.295117</x:v>
      </x:c>
      <x:c r="H2322" t="n">
        <x:f>IF(G2322&lt;$B$6,1,0)</x:f>
        <x:v>0</x:v>
      </x:c>
      <x:c r="I2322" s="26" t="n">
        <x:f>H2322*IF(F2322=0,E2322*$B$7,-E2322*$B$8)</x:f>
        <x:v>0</x:v>
      </x:c>
    </x:row>
    <x:row r="2323">
      <x:c r="A2323" t="n">
        <x:v>6188</x:v>
      </x:c>
      <x:c r="B2323" t="str">
        <x:v>2024-12</x:v>
      </x:c>
      <x:c r="C2323" t="str">
        <x:v>Salaried</x:v>
      </x:c>
      <x:c r="D2323" t="str">
        <x:v>Group A</x:v>
      </x:c>
      <x:c r="E2323" s="26" t="n">
        <x:v>16979.94</x:v>
      </x:c>
      <x:c r="F2323" t="n">
        <x:v>0</x:v>
      </x:c>
      <x:c r="G2323" s="25" t="n">
        <x:v>0.039291</x:v>
      </x:c>
      <x:c r="H2323" t="n">
        <x:f>IF(G2323&lt;$B$6,1,0)</x:f>
        <x:v>1</x:v>
      </x:c>
      <x:c r="I2323" s="26" t="n">
        <x:f>H2323*IF(F2323=0,E2323*$B$7,-E2323*$B$8)</x:f>
        <x:v>2037.5927999999997</x:v>
      </x:c>
    </x:row>
    <x:row r="2324">
      <x:c r="A2324" t="n">
        <x:v>6204</x:v>
      </x:c>
      <x:c r="B2324" t="str">
        <x:v>2024-12</x:v>
      </x:c>
      <x:c r="C2324" t="str">
        <x:v>Salaried</x:v>
      </x:c>
      <x:c r="D2324" t="str">
        <x:v>Group B</x:v>
      </x:c>
      <x:c r="E2324" s="26" t="n">
        <x:v>8383.8</x:v>
      </x:c>
      <x:c r="F2324" t="n">
        <x:v>0</x:v>
      </x:c>
      <x:c r="G2324" s="25" t="n">
        <x:v>0.211394</x:v>
      </x:c>
      <x:c r="H2324" t="n">
        <x:f>IF(G2324&lt;$B$6,1,0)</x:f>
        <x:v>0</x:v>
      </x:c>
      <x:c r="I2324" s="26" t="n">
        <x:f>H2324*IF(F2324=0,E2324*$B$7,-E2324*$B$8)</x:f>
        <x:v>0</x:v>
      </x:c>
    </x:row>
    <x:row r="2325">
      <x:c r="A2325" t="n">
        <x:v>6215</x:v>
      </x:c>
      <x:c r="B2325" t="str">
        <x:v>2024-12</x:v>
      </x:c>
      <x:c r="C2325" t="str">
        <x:v>Salaried</x:v>
      </x:c>
      <x:c r="D2325" t="str">
        <x:v>Group A</x:v>
      </x:c>
      <x:c r="E2325" s="26" t="n">
        <x:v>60014.01</x:v>
      </x:c>
      <x:c r="F2325" t="n">
        <x:v>1</x:v>
      </x:c>
      <x:c r="G2325" s="25" t="n">
        <x:v>0.209022</x:v>
      </x:c>
      <x:c r="H2325" t="n">
        <x:f>IF(G2325&lt;$B$6,1,0)</x:f>
        <x:v>0</x:v>
      </x:c>
      <x:c r="I2325" s="26" t="n">
        <x:f>H2325*IF(F2325=0,E2325*$B$7,-E2325*$B$8)</x:f>
        <x:v>0</x:v>
      </x:c>
    </x:row>
    <x:row r="2326">
      <x:c r="A2326" t="n">
        <x:v>6223</x:v>
      </x:c>
      <x:c r="B2326" t="str">
        <x:v>2024-12</x:v>
      </x:c>
      <x:c r="C2326" t="str">
        <x:v>Salaried</x:v>
      </x:c>
      <x:c r="D2326" t="str">
        <x:v>Group A</x:v>
      </x:c>
      <x:c r="E2326" s="26" t="n">
        <x:v>15836.93</x:v>
      </x:c>
      <x:c r="F2326" t="n">
        <x:v>1</x:v>
      </x:c>
      <x:c r="G2326" s="25" t="n">
        <x:v>0.359306</x:v>
      </x:c>
      <x:c r="H2326" t="n">
        <x:f>IF(G2326&lt;$B$6,1,0)</x:f>
        <x:v>0</x:v>
      </x:c>
      <x:c r="I2326" s="26" t="n">
        <x:f>H2326*IF(F2326=0,E2326*$B$7,-E2326*$B$8)</x:f>
        <x:v>0</x:v>
      </x:c>
    </x:row>
    <x:row r="2327">
      <x:c r="A2327" t="n">
        <x:v>6249</x:v>
      </x:c>
      <x:c r="B2327" t="str">
        <x:v>2024-12</x:v>
      </x:c>
      <x:c r="C2327" t="str">
        <x:v>Salaried</x:v>
      </x:c>
      <x:c r="D2327" t="str">
        <x:v>Group A</x:v>
      </x:c>
      <x:c r="E2327" s="26" t="n">
        <x:v>36096.88</x:v>
      </x:c>
      <x:c r="F2327" t="n">
        <x:v>1</x:v>
      </x:c>
      <x:c r="G2327" s="25" t="n">
        <x:v>0.264176</x:v>
      </x:c>
      <x:c r="H2327" t="n">
        <x:f>IF(G2327&lt;$B$6,1,0)</x:f>
        <x:v>0</x:v>
      </x:c>
      <x:c r="I2327" s="26" t="n">
        <x:f>H2327*IF(F2327=0,E2327*$B$7,-E2327*$B$8)</x:f>
        <x:v>0</x:v>
      </x:c>
    </x:row>
    <x:row r="2328">
      <x:c r="A2328" t="n">
        <x:v>6267</x:v>
      </x:c>
      <x:c r="B2328" t="str">
        <x:v>2024-12</x:v>
      </x:c>
      <x:c r="C2328" t="str">
        <x:v>Salaried</x:v>
      </x:c>
      <x:c r="D2328" t="str">
        <x:v>Group A</x:v>
      </x:c>
      <x:c r="E2328" s="26" t="n">
        <x:v>3830.7</x:v>
      </x:c>
      <x:c r="F2328" t="n">
        <x:v>1</x:v>
      </x:c>
      <x:c r="G2328" s="25" t="n">
        <x:v>0.227583</x:v>
      </x:c>
      <x:c r="H2328" t="n">
        <x:f>IF(G2328&lt;$B$6,1,0)</x:f>
        <x:v>0</x:v>
      </x:c>
      <x:c r="I2328" s="26" t="n">
        <x:f>H2328*IF(F2328=0,E2328*$B$7,-E2328*$B$8)</x:f>
        <x:v>0</x:v>
      </x:c>
    </x:row>
    <x:row r="2329">
      <x:c r="A2329" t="n">
        <x:v>6358</x:v>
      </x:c>
      <x:c r="B2329" t="str">
        <x:v>2024-12</x:v>
      </x:c>
      <x:c r="C2329" t="str">
        <x:v>Salaried</x:v>
      </x:c>
      <x:c r="D2329" t="str">
        <x:v>Group A</x:v>
      </x:c>
      <x:c r="E2329" s="26" t="n">
        <x:v>14950.35</x:v>
      </x:c>
      <x:c r="F2329" t="n">
        <x:v>1</x:v>
      </x:c>
      <x:c r="G2329" s="25" t="n">
        <x:v>0.562084</x:v>
      </x:c>
      <x:c r="H2329" t="n">
        <x:f>IF(G2329&lt;$B$6,1,0)</x:f>
        <x:v>0</x:v>
      </x:c>
      <x:c r="I2329" s="26" t="n">
        <x:f>H2329*IF(F2329=0,E2329*$B$7,-E2329*$B$8)</x:f>
        <x:v>0</x:v>
      </x:c>
    </x:row>
    <x:row r="2330">
      <x:c r="A2330" t="n">
        <x:v>6374</x:v>
      </x:c>
      <x:c r="B2330" t="str">
        <x:v>2024-12</x:v>
      </x:c>
      <x:c r="C2330" t="str">
        <x:v>Self employed</x:v>
      </x:c>
      <x:c r="D2330" t="str">
        <x:v>Group A</x:v>
      </x:c>
      <x:c r="E2330" s="26" t="n">
        <x:v>17651.19</x:v>
      </x:c>
      <x:c r="F2330" t="n">
        <x:v>0</x:v>
      </x:c>
      <x:c r="G2330" s="25" t="n">
        <x:v>0.068202</x:v>
      </x:c>
      <x:c r="H2330" t="n">
        <x:f>IF(G2330&lt;$B$6,1,0)</x:f>
        <x:v>1</x:v>
      </x:c>
      <x:c r="I2330" s="26" t="n">
        <x:f>H2330*IF(F2330=0,E2330*$B$7,-E2330*$B$8)</x:f>
        <x:v>2118.1427999999996</x:v>
      </x:c>
    </x:row>
    <x:row r="2331">
      <x:c r="A2331" t="n">
        <x:v>6376</x:v>
      </x:c>
      <x:c r="B2331" t="str">
        <x:v>2024-12</x:v>
      </x:c>
      <x:c r="C2331" t="str">
        <x:v>Self employed</x:v>
      </x:c>
      <x:c r="D2331" t="str">
        <x:v>Group B</x:v>
      </x:c>
      <x:c r="E2331" s="26" t="n">
        <x:v>16216.65</x:v>
      </x:c>
      <x:c r="F2331" t="n">
        <x:v>0</x:v>
      </x:c>
      <x:c r="G2331" s="25" t="n">
        <x:v>0.186893</x:v>
      </x:c>
      <x:c r="H2331" t="n">
        <x:f>IF(G2331&lt;$B$6,1,0)</x:f>
        <x:v>0</x:v>
      </x:c>
      <x:c r="I2331" s="26" t="n">
        <x:f>H2331*IF(F2331=0,E2331*$B$7,-E2331*$B$8)</x:f>
        <x:v>0</x:v>
      </x:c>
    </x:row>
    <x:row r="2332">
      <x:c r="A2332" t="n">
        <x:v>6379</x:v>
      </x:c>
      <x:c r="B2332" t="str">
        <x:v>2024-12</x:v>
      </x:c>
      <x:c r="C2332" t="str">
        <x:v>Salaried</x:v>
      </x:c>
      <x:c r="D2332" t="str">
        <x:v>Group B</x:v>
      </x:c>
      <x:c r="E2332" s="26" t="n">
        <x:v>11845.78</x:v>
      </x:c>
      <x:c r="F2332" t="n">
        <x:v>1</x:v>
      </x:c>
      <x:c r="G2332" s="25" t="n">
        <x:v>0.325991</x:v>
      </x:c>
      <x:c r="H2332" t="n">
        <x:f>IF(G2332&lt;$B$6,1,0)</x:f>
        <x:v>0</x:v>
      </x:c>
      <x:c r="I2332" s="26" t="n">
        <x:f>H2332*IF(F2332=0,E2332*$B$7,-E2332*$B$8)</x:f>
        <x:v>0</x:v>
      </x:c>
    </x:row>
    <x:row r="2333">
      <x:c r="A2333" t="n">
        <x:v>6386</x:v>
      </x:c>
      <x:c r="B2333" t="str">
        <x:v>2024-12</x:v>
      </x:c>
      <x:c r="C2333" t="str">
        <x:v>Salaried</x:v>
      </x:c>
      <x:c r="D2333" t="str">
        <x:v>Group B</x:v>
      </x:c>
      <x:c r="E2333" s="26" t="n">
        <x:v>12298.42</x:v>
      </x:c>
      <x:c r="F2333" t="n">
        <x:v>0</x:v>
      </x:c>
      <x:c r="G2333" s="25" t="n">
        <x:v>0.157288</x:v>
      </x:c>
      <x:c r="H2333" t="n">
        <x:f>IF(G2333&lt;$B$6,1,0)</x:f>
        <x:v>1</x:v>
      </x:c>
      <x:c r="I2333" s="26" t="n">
        <x:f>H2333*IF(F2333=0,E2333*$B$7,-E2333*$B$8)</x:f>
        <x:v>1475.8103999999998</x:v>
      </x:c>
    </x:row>
    <x:row r="2334">
      <x:c r="A2334" t="n">
        <x:v>6402</x:v>
      </x:c>
      <x:c r="B2334" t="str">
        <x:v>2024-12</x:v>
      </x:c>
      <x:c r="C2334" t="str">
        <x:v>Salaried</x:v>
      </x:c>
      <x:c r="D2334" t="str">
        <x:v>Group B</x:v>
      </x:c>
      <x:c r="E2334" s="26" t="n">
        <x:v>4389.64</x:v>
      </x:c>
      <x:c r="F2334" t="n">
        <x:v>0</x:v>
      </x:c>
      <x:c r="G2334" s="25" t="n">
        <x:v>0.126884</x:v>
      </x:c>
      <x:c r="H2334" t="n">
        <x:f>IF(G2334&lt;$B$6,1,0)</x:f>
        <x:v>1</x:v>
      </x:c>
      <x:c r="I2334" s="26" t="n">
        <x:f>H2334*IF(F2334=0,E2334*$B$7,-E2334*$B$8)</x:f>
        <x:v>526.7568</x:v>
      </x:c>
    </x:row>
    <x:row r="2335">
      <x:c r="A2335" t="n">
        <x:v>6414</x:v>
      </x:c>
      <x:c r="B2335" t="str">
        <x:v>2024-12</x:v>
      </x:c>
      <x:c r="C2335" t="str">
        <x:v>Salaried</x:v>
      </x:c>
      <x:c r="D2335" t="str">
        <x:v>Group B</x:v>
      </x:c>
      <x:c r="E2335" s="26" t="n">
        <x:v>11956.6</x:v>
      </x:c>
      <x:c r="F2335" t="n">
        <x:v>0</x:v>
      </x:c>
      <x:c r="G2335" s="25" t="n">
        <x:v>0.047559</x:v>
      </x:c>
      <x:c r="H2335" t="n">
        <x:f>IF(G2335&lt;$B$6,1,0)</x:f>
        <x:v>1</x:v>
      </x:c>
      <x:c r="I2335" s="26" t="n">
        <x:f>H2335*IF(F2335=0,E2335*$B$7,-E2335*$B$8)</x:f>
        <x:v>1434.792</x:v>
      </x:c>
    </x:row>
    <x:row r="2336">
      <x:c r="A2336" t="n">
        <x:v>6440</x:v>
      </x:c>
      <x:c r="B2336" t="str">
        <x:v>2024-12</x:v>
      </x:c>
      <x:c r="C2336" t="str">
        <x:v>Contract</x:v>
      </x:c>
      <x:c r="D2336" t="str">
        <x:v>Group B</x:v>
      </x:c>
      <x:c r="E2336" s="26" t="n">
        <x:v>10943.15</x:v>
      </x:c>
      <x:c r="F2336" t="n">
        <x:v>0</x:v>
      </x:c>
      <x:c r="G2336" s="25" t="n">
        <x:v>0.106938</x:v>
      </x:c>
      <x:c r="H2336" t="n">
        <x:f>IF(G2336&lt;$B$6,1,0)</x:f>
        <x:v>1</x:v>
      </x:c>
      <x:c r="I2336" s="26" t="n">
        <x:f>H2336*IF(F2336=0,E2336*$B$7,-E2336*$B$8)</x:f>
        <x:v>1313.1779999999999</x:v>
      </x:c>
    </x:row>
    <x:row r="2337">
      <x:c r="A2337" t="n">
        <x:v>6473</x:v>
      </x:c>
      <x:c r="B2337" t="str">
        <x:v>2024-12</x:v>
      </x:c>
      <x:c r="C2337" t="str">
        <x:v>Self employed</x:v>
      </x:c>
      <x:c r="D2337" t="str">
        <x:v>Group A</x:v>
      </x:c>
      <x:c r="E2337" s="26" t="n">
        <x:v>8776.02</x:v>
      </x:c>
      <x:c r="F2337" t="n">
        <x:v>0</x:v>
      </x:c>
      <x:c r="G2337" s="25" t="n">
        <x:v>0.069141</x:v>
      </x:c>
      <x:c r="H2337" t="n">
        <x:f>IF(G2337&lt;$B$6,1,0)</x:f>
        <x:v>1</x:v>
      </x:c>
      <x:c r="I2337" s="26" t="n">
        <x:f>H2337*IF(F2337=0,E2337*$B$7,-E2337*$B$8)</x:f>
        <x:v>1053.1224</x:v>
      </x:c>
    </x:row>
    <x:row r="2338">
      <x:c r="A2338" t="n">
        <x:v>6478</x:v>
      </x:c>
      <x:c r="B2338" t="str">
        <x:v>2024-12</x:v>
      </x:c>
      <x:c r="C2338" t="str">
        <x:v>Salaried</x:v>
      </x:c>
      <x:c r="D2338" t="str">
        <x:v>Group B</x:v>
      </x:c>
      <x:c r="E2338" s="26" t="n">
        <x:v>31177.84</x:v>
      </x:c>
      <x:c r="F2338" t="n">
        <x:v>0</x:v>
      </x:c>
      <x:c r="G2338" s="25" t="n">
        <x:v>0.356776</x:v>
      </x:c>
      <x:c r="H2338" t="n">
        <x:f>IF(G2338&lt;$B$6,1,0)</x:f>
        <x:v>0</x:v>
      </x:c>
      <x:c r="I2338" s="26" t="n">
        <x:f>H2338*IF(F2338=0,E2338*$B$7,-E2338*$B$8)</x:f>
        <x:v>0</x:v>
      </x:c>
    </x:row>
    <x:row r="2339">
      <x:c r="A2339" t="n">
        <x:v>6495</x:v>
      </x:c>
      <x:c r="B2339" t="str">
        <x:v>2024-12</x:v>
      </x:c>
      <x:c r="C2339" t="str">
        <x:v>Self employed</x:v>
      </x:c>
      <x:c r="D2339" t="str">
        <x:v>Group A</x:v>
      </x:c>
      <x:c r="E2339" s="26" t="n">
        <x:v>6971.55</x:v>
      </x:c>
      <x:c r="F2339" t="n">
        <x:v>0</x:v>
      </x:c>
      <x:c r="G2339" s="25" t="n">
        <x:v>0.153773</x:v>
      </x:c>
      <x:c r="H2339" t="n">
        <x:f>IF(G2339&lt;$B$6,1,0)</x:f>
        <x:v>1</x:v>
      </x:c>
      <x:c r="I2339" s="26" t="n">
        <x:f>H2339*IF(F2339=0,E2339*$B$7,-E2339*$B$8)</x:f>
        <x:v>836.586</x:v>
      </x:c>
    </x:row>
    <x:row r="2340">
      <x:c r="A2340" t="n">
        <x:v>6519</x:v>
      </x:c>
      <x:c r="B2340" t="str">
        <x:v>2024-12</x:v>
      </x:c>
      <x:c r="C2340" t="str">
        <x:v>Contract</x:v>
      </x:c>
      <x:c r="D2340" t="str">
        <x:v>Group B</x:v>
      </x:c>
      <x:c r="E2340" s="26" t="n">
        <x:v>12287</x:v>
      </x:c>
      <x:c r="F2340" t="n">
        <x:v>0</x:v>
      </x:c>
      <x:c r="G2340" s="25" t="n">
        <x:v>0.049454</x:v>
      </x:c>
      <x:c r="H2340" t="n">
        <x:f>IF(G2340&lt;$B$6,1,0)</x:f>
        <x:v>1</x:v>
      </x:c>
      <x:c r="I2340" s="26" t="n">
        <x:f>H2340*IF(F2340=0,E2340*$B$7,-E2340*$B$8)</x:f>
        <x:v>1474.44</x:v>
      </x:c>
    </x:row>
    <x:row r="2341">
      <x:c r="A2341" t="n">
        <x:v>6521</x:v>
      </x:c>
      <x:c r="B2341" t="str">
        <x:v>2024-12</x:v>
      </x:c>
      <x:c r="C2341" t="str">
        <x:v>Salaried</x:v>
      </x:c>
      <x:c r="D2341" t="str">
        <x:v>Group B</x:v>
      </x:c>
      <x:c r="E2341" s="26" t="n">
        <x:v>42631.54</x:v>
      </x:c>
      <x:c r="F2341" t="n">
        <x:v>0</x:v>
      </x:c>
      <x:c r="G2341" s="25" t="n">
        <x:v>0.200031</x:v>
      </x:c>
      <x:c r="H2341" t="n">
        <x:f>IF(G2341&lt;$B$6,1,0)</x:f>
        <x:v>0</x:v>
      </x:c>
      <x:c r="I2341" s="26" t="n">
        <x:f>H2341*IF(F2341=0,E2341*$B$7,-E2341*$B$8)</x:f>
        <x:v>0</x:v>
      </x:c>
    </x:row>
    <x:row r="2342">
      <x:c r="A2342" t="n">
        <x:v>6537</x:v>
      </x:c>
      <x:c r="B2342" t="str">
        <x:v>2024-12</x:v>
      </x:c>
      <x:c r="C2342" t="str">
        <x:v>Contract</x:v>
      </x:c>
      <x:c r="D2342" t="str">
        <x:v>Group A</x:v>
      </x:c>
      <x:c r="E2342" s="26" t="n">
        <x:v>7726.9</x:v>
      </x:c>
      <x:c r="F2342" t="n">
        <x:v>0</x:v>
      </x:c>
      <x:c r="G2342" s="25" t="n">
        <x:v>0.101129</x:v>
      </x:c>
      <x:c r="H2342" t="n">
        <x:f>IF(G2342&lt;$B$6,1,0)</x:f>
        <x:v>1</x:v>
      </x:c>
      <x:c r="I2342" s="26" t="n">
        <x:f>H2342*IF(F2342=0,E2342*$B$7,-E2342*$B$8)</x:f>
        <x:v>927.228</x:v>
      </x:c>
    </x:row>
    <x:row r="2343">
      <x:c r="A2343" t="n">
        <x:v>6571</x:v>
      </x:c>
      <x:c r="B2343" t="str">
        <x:v>2024-12</x:v>
      </x:c>
      <x:c r="C2343" t="str">
        <x:v>Self employed</x:v>
      </x:c>
      <x:c r="D2343" t="str">
        <x:v>Group B</x:v>
      </x:c>
      <x:c r="E2343" s="26" t="n">
        <x:v>38197.01</x:v>
      </x:c>
      <x:c r="F2343" t="n">
        <x:v>1</x:v>
      </x:c>
      <x:c r="G2343" s="25" t="n">
        <x:v>0.641987</x:v>
      </x:c>
      <x:c r="H2343" t="n">
        <x:f>IF(G2343&lt;$B$6,1,0)</x:f>
        <x:v>0</x:v>
      </x:c>
      <x:c r="I2343" s="26" t="n">
        <x:f>H2343*IF(F2343=0,E2343*$B$7,-E2343*$B$8)</x:f>
        <x:v>0</x:v>
      </x:c>
    </x:row>
    <x:row r="2344">
      <x:c r="A2344" t="n">
        <x:v>6587</x:v>
      </x:c>
      <x:c r="B2344" t="str">
        <x:v>2024-12</x:v>
      </x:c>
      <x:c r="C2344" t="str">
        <x:v>Salaried</x:v>
      </x:c>
      <x:c r="D2344" t="str">
        <x:v>Group A</x:v>
      </x:c>
      <x:c r="E2344" s="26" t="n">
        <x:v>6910.35</x:v>
      </x:c>
      <x:c r="F2344" t="n">
        <x:v>1</x:v>
      </x:c>
      <x:c r="G2344" s="25" t="n">
        <x:v>0.39468</x:v>
      </x:c>
      <x:c r="H2344" t="n">
        <x:f>IF(G2344&lt;$B$6,1,0)</x:f>
        <x:v>0</x:v>
      </x:c>
      <x:c r="I2344" s="26" t="n">
        <x:f>H2344*IF(F2344=0,E2344*$B$7,-E2344*$B$8)</x:f>
        <x:v>0</x:v>
      </x:c>
    </x:row>
    <x:row r="2345">
      <x:c r="A2345" t="n">
        <x:v>6590</x:v>
      </x:c>
      <x:c r="B2345" t="str">
        <x:v>2024-12</x:v>
      </x:c>
      <x:c r="C2345" t="str">
        <x:v>Salaried</x:v>
      </x:c>
      <x:c r="D2345" t="str">
        <x:v>Group B</x:v>
      </x:c>
      <x:c r="E2345" s="26" t="n">
        <x:v>39185.06</x:v>
      </x:c>
      <x:c r="F2345" t="n">
        <x:v>1</x:v>
      </x:c>
      <x:c r="G2345" s="25" t="n">
        <x:v>0.304835</x:v>
      </x:c>
      <x:c r="H2345" t="n">
        <x:f>IF(G2345&lt;$B$6,1,0)</x:f>
        <x:v>0</x:v>
      </x:c>
      <x:c r="I2345" s="26" t="n">
        <x:f>H2345*IF(F2345=0,E2345*$B$7,-E2345*$B$8)</x:f>
        <x:v>0</x:v>
      </x:c>
    </x:row>
    <x:row r="2346">
      <x:c r="A2346" t="n">
        <x:v>6592</x:v>
      </x:c>
      <x:c r="B2346" t="str">
        <x:v>2024-12</x:v>
      </x:c>
      <x:c r="C2346" t="str">
        <x:v>Salaried</x:v>
      </x:c>
      <x:c r="D2346" t="str">
        <x:v>Group A</x:v>
      </x:c>
      <x:c r="E2346" s="26" t="n">
        <x:v>21884.04</x:v>
      </x:c>
      <x:c r="F2346" t="n">
        <x:v>0</x:v>
      </x:c>
      <x:c r="G2346" s="25" t="n">
        <x:v>0.064223</x:v>
      </x:c>
      <x:c r="H2346" t="n">
        <x:f>IF(G2346&lt;$B$6,1,0)</x:f>
        <x:v>1</x:v>
      </x:c>
      <x:c r="I2346" s="26" t="n">
        <x:f>H2346*IF(F2346=0,E2346*$B$7,-E2346*$B$8)</x:f>
        <x:v>2626.0848</x:v>
      </x:c>
    </x:row>
    <x:row r="2347">
      <x:c r="A2347" t="n">
        <x:v>6597</x:v>
      </x:c>
      <x:c r="B2347" t="str">
        <x:v>2024-12</x:v>
      </x:c>
      <x:c r="C2347" t="str">
        <x:v>Salaried</x:v>
      </x:c>
      <x:c r="D2347" t="str">
        <x:v>Group B</x:v>
      </x:c>
      <x:c r="E2347" s="26" t="n">
        <x:v>33224.28</x:v>
      </x:c>
      <x:c r="F2347" t="n">
        <x:v>0</x:v>
      </x:c>
      <x:c r="G2347" s="25" t="n">
        <x:v>0.031422</x:v>
      </x:c>
      <x:c r="H2347" t="n">
        <x:f>IF(G2347&lt;$B$6,1,0)</x:f>
        <x:v>1</x:v>
      </x:c>
      <x:c r="I2347" s="26" t="n">
        <x:f>H2347*IF(F2347=0,E2347*$B$7,-E2347*$B$8)</x:f>
        <x:v>3986.9136</x:v>
      </x:c>
    </x:row>
    <x:row r="2348">
      <x:c r="A2348" t="n">
        <x:v>6625</x:v>
      </x:c>
      <x:c r="B2348" t="str">
        <x:v>2024-12</x:v>
      </x:c>
      <x:c r="C2348" t="str">
        <x:v>Salaried</x:v>
      </x:c>
      <x:c r="D2348" t="str">
        <x:v>Group A</x:v>
      </x:c>
      <x:c r="E2348" s="26" t="n">
        <x:v>7129.54</x:v>
      </x:c>
      <x:c r="F2348" t="n">
        <x:v>0</x:v>
      </x:c>
      <x:c r="G2348" s="25" t="n">
        <x:v>0.055797</x:v>
      </x:c>
      <x:c r="H2348" t="n">
        <x:f>IF(G2348&lt;$B$6,1,0)</x:f>
        <x:v>1</x:v>
      </x:c>
      <x:c r="I2348" s="26" t="n">
        <x:f>H2348*IF(F2348=0,E2348*$B$7,-E2348*$B$8)</x:f>
        <x:v>855.5448</x:v>
      </x:c>
    </x:row>
    <x:row r="2349">
      <x:c r="A2349" t="n">
        <x:v>6667</x:v>
      </x:c>
      <x:c r="B2349" t="str">
        <x:v>2024-12</x:v>
      </x:c>
      <x:c r="C2349" t="str">
        <x:v>Salaried</x:v>
      </x:c>
      <x:c r="D2349" t="str">
        <x:v>Group A</x:v>
      </x:c>
      <x:c r="E2349" s="26" t="n">
        <x:v>8640.55</x:v>
      </x:c>
      <x:c r="F2349" t="n">
        <x:v>1</x:v>
      </x:c>
      <x:c r="G2349" s="25" t="n">
        <x:v>0.216171</x:v>
      </x:c>
      <x:c r="H2349" t="n">
        <x:f>IF(G2349&lt;$B$6,1,0)</x:f>
        <x:v>0</x:v>
      </x:c>
      <x:c r="I2349" s="26" t="n">
        <x:f>H2349*IF(F2349=0,E2349*$B$7,-E2349*$B$8)</x:f>
        <x:v>0</x:v>
      </x:c>
    </x:row>
    <x:row r="2350">
      <x:c r="A2350" t="n">
        <x:v>6690</x:v>
      </x:c>
      <x:c r="B2350" t="str">
        <x:v>2024-12</x:v>
      </x:c>
      <x:c r="C2350" t="str">
        <x:v>Salaried</x:v>
      </x:c>
      <x:c r="D2350" t="str">
        <x:v>Group B</x:v>
      </x:c>
      <x:c r="E2350" s="26" t="n">
        <x:v>9938.71</x:v>
      </x:c>
      <x:c r="F2350" t="n">
        <x:v>0</x:v>
      </x:c>
      <x:c r="G2350" s="25" t="n">
        <x:v>0.168401</x:v>
      </x:c>
      <x:c r="H2350" t="n">
        <x:f>IF(G2350&lt;$B$6,1,0)</x:f>
        <x:v>0</x:v>
      </x:c>
      <x:c r="I2350" s="26" t="n">
        <x:f>H2350*IF(F2350=0,E2350*$B$7,-E2350*$B$8)</x:f>
        <x:v>0</x:v>
      </x:c>
    </x:row>
    <x:row r="2351">
      <x:c r="A2351" t="n">
        <x:v>6698</x:v>
      </x:c>
      <x:c r="B2351" t="str">
        <x:v>2024-12</x:v>
      </x:c>
      <x:c r="C2351" t="str">
        <x:v>Salaried</x:v>
      </x:c>
      <x:c r="D2351" t="str">
        <x:v>Group B</x:v>
      </x:c>
      <x:c r="E2351" s="26" t="n">
        <x:v>30610.95</x:v>
      </x:c>
      <x:c r="F2351" t="n">
        <x:v>0</x:v>
      </x:c>
      <x:c r="G2351" s="25" t="n">
        <x:v>0.115225</x:v>
      </x:c>
      <x:c r="H2351" t="n">
        <x:f>IF(G2351&lt;$B$6,1,0)</x:f>
        <x:v>1</x:v>
      </x:c>
      <x:c r="I2351" s="26" t="n">
        <x:f>H2351*IF(F2351=0,E2351*$B$7,-E2351*$B$8)</x:f>
        <x:v>3673.314</x:v>
      </x:c>
    </x:row>
    <x:row r="2352">
      <x:c r="A2352" t="n">
        <x:v>6728</x:v>
      </x:c>
      <x:c r="B2352" t="str">
        <x:v>2024-12</x:v>
      </x:c>
      <x:c r="C2352" t="str">
        <x:v>Salaried</x:v>
      </x:c>
      <x:c r="D2352" t="str">
        <x:v>Group B</x:v>
      </x:c>
      <x:c r="E2352" s="26" t="n">
        <x:v>20131.82</x:v>
      </x:c>
      <x:c r="F2352" t="n">
        <x:v>1</x:v>
      </x:c>
      <x:c r="G2352" s="25" t="n">
        <x:v>0.111652</x:v>
      </x:c>
      <x:c r="H2352" t="n">
        <x:f>IF(G2352&lt;$B$6,1,0)</x:f>
        <x:v>1</x:v>
      </x:c>
      <x:c r="I2352" s="26" t="n">
        <x:f>H2352*IF(F2352=0,E2352*$B$7,-E2352*$B$8)</x:f>
        <x:v>-13085.683</x:v>
      </x:c>
    </x:row>
    <x:row r="2353">
      <x:c r="A2353" t="n">
        <x:v>6741</x:v>
      </x:c>
      <x:c r="B2353" t="str">
        <x:v>2024-12</x:v>
      </x:c>
      <x:c r="C2353" t="str">
        <x:v>Self employed</x:v>
      </x:c>
      <x:c r="D2353" t="str">
        <x:v>Group B</x:v>
      </x:c>
      <x:c r="E2353" s="26" t="n">
        <x:v>6466.06</x:v>
      </x:c>
      <x:c r="F2353" t="n">
        <x:v>0</x:v>
      </x:c>
      <x:c r="G2353" s="25" t="n">
        <x:v>0.331651</x:v>
      </x:c>
      <x:c r="H2353" t="n">
        <x:f>IF(G2353&lt;$B$6,1,0)</x:f>
        <x:v>0</x:v>
      </x:c>
      <x:c r="I2353" s="26" t="n">
        <x:f>H2353*IF(F2353=0,E2353*$B$7,-E2353*$B$8)</x:f>
        <x:v>0</x:v>
      </x:c>
    </x:row>
    <x:row r="2354">
      <x:c r="A2354" t="n">
        <x:v>6749</x:v>
      </x:c>
      <x:c r="B2354" t="str">
        <x:v>2024-12</x:v>
      </x:c>
      <x:c r="C2354" t="str">
        <x:v>Salaried</x:v>
      </x:c>
      <x:c r="D2354" t="str">
        <x:v>Group B</x:v>
      </x:c>
      <x:c r="E2354" s="26" t="n">
        <x:v>33069.43</x:v>
      </x:c>
      <x:c r="F2354" t="n">
        <x:v>0</x:v>
      </x:c>
      <x:c r="G2354" s="25" t="n">
        <x:v>0.131821</x:v>
      </x:c>
      <x:c r="H2354" t="n">
        <x:f>IF(G2354&lt;$B$6,1,0)</x:f>
        <x:v>1</x:v>
      </x:c>
      <x:c r="I2354" s="26" t="n">
        <x:f>H2354*IF(F2354=0,E2354*$B$7,-E2354*$B$8)</x:f>
        <x:v>3968.3316</x:v>
      </x:c>
    </x:row>
    <x:row r="2355">
      <x:c r="A2355" t="n">
        <x:v>6766</x:v>
      </x:c>
      <x:c r="B2355" t="str">
        <x:v>2024-12</x:v>
      </x:c>
      <x:c r="C2355" t="str">
        <x:v>Salaried</x:v>
      </x:c>
      <x:c r="D2355" t="str">
        <x:v>Group A</x:v>
      </x:c>
      <x:c r="E2355" s="26" t="n">
        <x:v>7736.82</x:v>
      </x:c>
      <x:c r="F2355" t="n">
        <x:v>0</x:v>
      </x:c>
      <x:c r="G2355" s="25" t="n">
        <x:v>0.158619</x:v>
      </x:c>
      <x:c r="H2355" t="n">
        <x:f>IF(G2355&lt;$B$6,1,0)</x:f>
        <x:v>1</x:v>
      </x:c>
      <x:c r="I2355" s="26" t="n">
        <x:f>H2355*IF(F2355=0,E2355*$B$7,-E2355*$B$8)</x:f>
        <x:v>928.4183999999999</x:v>
      </x:c>
    </x:row>
    <x:row r="2356">
      <x:c r="A2356" t="n">
        <x:v>6767</x:v>
      </x:c>
      <x:c r="B2356" t="str">
        <x:v>2024-12</x:v>
      </x:c>
      <x:c r="C2356" t="str">
        <x:v>Salaried</x:v>
      </x:c>
      <x:c r="D2356" t="str">
        <x:v>Group B</x:v>
      </x:c>
      <x:c r="E2356" s="26" t="n">
        <x:v>23192.11</x:v>
      </x:c>
      <x:c r="F2356" t="n">
        <x:v>0</x:v>
      </x:c>
      <x:c r="G2356" s="25" t="n">
        <x:v>0.176777</x:v>
      </x:c>
      <x:c r="H2356" t="n">
        <x:f>IF(G2356&lt;$B$6,1,0)</x:f>
        <x:v>0</x:v>
      </x:c>
      <x:c r="I2356" s="26" t="n">
        <x:f>H2356*IF(F2356=0,E2356*$B$7,-E2356*$B$8)</x:f>
        <x:v>0</x:v>
      </x:c>
    </x:row>
    <x:row r="2357">
      <x:c r="A2357" t="n">
        <x:v>6810</x:v>
      </x:c>
      <x:c r="B2357" t="str">
        <x:v>2024-12</x:v>
      </x:c>
      <x:c r="C2357" t="str">
        <x:v>Salaried</x:v>
      </x:c>
      <x:c r="D2357" t="str">
        <x:v>Group B</x:v>
      </x:c>
      <x:c r="E2357" s="26" t="n">
        <x:v>24154.19</x:v>
      </x:c>
      <x:c r="F2357" t="n">
        <x:v>0</x:v>
      </x:c>
      <x:c r="G2357" s="25" t="n">
        <x:v>0.125228</x:v>
      </x:c>
      <x:c r="H2357" t="n">
        <x:f>IF(G2357&lt;$B$6,1,0)</x:f>
        <x:v>1</x:v>
      </x:c>
      <x:c r="I2357" s="26" t="n">
        <x:f>H2357*IF(F2357=0,E2357*$B$7,-E2357*$B$8)</x:f>
        <x:v>2898.5027999999998</x:v>
      </x:c>
    </x:row>
    <x:row r="2358">
      <x:c r="A2358" t="n">
        <x:v>6811</x:v>
      </x:c>
      <x:c r="B2358" t="str">
        <x:v>2024-12</x:v>
      </x:c>
      <x:c r="C2358" t="str">
        <x:v>Self employed</x:v>
      </x:c>
      <x:c r="D2358" t="str">
        <x:v>Group B</x:v>
      </x:c>
      <x:c r="E2358" s="26" t="n">
        <x:v>20294.28</x:v>
      </x:c>
      <x:c r="F2358" t="n">
        <x:v>1</x:v>
      </x:c>
      <x:c r="G2358" s="25" t="n">
        <x:v>0.468493</x:v>
      </x:c>
      <x:c r="H2358" t="n">
        <x:f>IF(G2358&lt;$B$6,1,0)</x:f>
        <x:v>0</x:v>
      </x:c>
      <x:c r="I2358" s="26" t="n">
        <x:f>H2358*IF(F2358=0,E2358*$B$7,-E2358*$B$8)</x:f>
        <x:v>0</x:v>
      </x:c>
    </x:row>
    <x:row r="2359">
      <x:c r="A2359" t="n">
        <x:v>6826</x:v>
      </x:c>
      <x:c r="B2359" t="str">
        <x:v>2024-12</x:v>
      </x:c>
      <x:c r="C2359" t="str">
        <x:v>Self employed</x:v>
      </x:c>
      <x:c r="D2359" t="str">
        <x:v>Group B</x:v>
      </x:c>
      <x:c r="E2359" s="26" t="n">
        <x:v>9083.22</x:v>
      </x:c>
      <x:c r="F2359" t="n">
        <x:v>0</x:v>
      </x:c>
      <x:c r="G2359" s="25" t="n">
        <x:v>0.154814</x:v>
      </x:c>
      <x:c r="H2359" t="n">
        <x:f>IF(G2359&lt;$B$6,1,0)</x:f>
        <x:v>1</x:v>
      </x:c>
      <x:c r="I2359" s="26" t="n">
        <x:f>H2359*IF(F2359=0,E2359*$B$7,-E2359*$B$8)</x:f>
        <x:v>1089.9863999999998</x:v>
      </x:c>
    </x:row>
    <x:row r="2360">
      <x:c r="A2360" t="n">
        <x:v>6829</x:v>
      </x:c>
      <x:c r="B2360" t="str">
        <x:v>2024-12</x:v>
      </x:c>
      <x:c r="C2360" t="str">
        <x:v>Self employed</x:v>
      </x:c>
      <x:c r="D2360" t="str">
        <x:v>Group B</x:v>
      </x:c>
      <x:c r="E2360" s="26" t="n">
        <x:v>12754.31</x:v>
      </x:c>
      <x:c r="F2360" t="n">
        <x:v>1</x:v>
      </x:c>
      <x:c r="G2360" s="25" t="n">
        <x:v>0.321139</x:v>
      </x:c>
      <x:c r="H2360" t="n">
        <x:f>IF(G2360&lt;$B$6,1,0)</x:f>
        <x:v>0</x:v>
      </x:c>
      <x:c r="I2360" s="26" t="n">
        <x:f>H2360*IF(F2360=0,E2360*$B$7,-E2360*$B$8)</x:f>
        <x:v>0</x:v>
      </x:c>
    </x:row>
    <x:row r="2361">
      <x:c r="A2361" t="n">
        <x:v>6841</x:v>
      </x:c>
      <x:c r="B2361" t="str">
        <x:v>2024-12</x:v>
      </x:c>
      <x:c r="C2361" t="str">
        <x:v>Self employed</x:v>
      </x:c>
      <x:c r="D2361" t="str">
        <x:v>Group B</x:v>
      </x:c>
      <x:c r="E2361" s="26" t="n">
        <x:v>31191.87</x:v>
      </x:c>
      <x:c r="F2361" t="n">
        <x:v>0</x:v>
      </x:c>
      <x:c r="G2361" s="25" t="n">
        <x:v>0.172755</x:v>
      </x:c>
      <x:c r="H2361" t="n">
        <x:f>IF(G2361&lt;$B$6,1,0)</x:f>
        <x:v>0</x:v>
      </x:c>
      <x:c r="I2361" s="26" t="n">
        <x:f>H2361*IF(F2361=0,E2361*$B$7,-E2361*$B$8)</x:f>
        <x:v>0</x:v>
      </x:c>
    </x:row>
    <x:row r="2362">
      <x:c r="A2362" t="n">
        <x:v>6874</x:v>
      </x:c>
      <x:c r="B2362" t="str">
        <x:v>2024-12</x:v>
      </x:c>
      <x:c r="C2362" t="str">
        <x:v>Salaried</x:v>
      </x:c>
      <x:c r="D2362" t="str">
        <x:v>Group A</x:v>
      </x:c>
      <x:c r="E2362" s="26" t="n">
        <x:v>8868.62</x:v>
      </x:c>
      <x:c r="F2362" t="n">
        <x:v>0</x:v>
      </x:c>
      <x:c r="G2362" s="25" t="n">
        <x:v>0.011867</x:v>
      </x:c>
      <x:c r="H2362" t="n">
        <x:f>IF(G2362&lt;$B$6,1,0)</x:f>
        <x:v>1</x:v>
      </x:c>
      <x:c r="I2362" s="26" t="n">
        <x:f>H2362*IF(F2362=0,E2362*$B$7,-E2362*$B$8)</x:f>
        <x:v>1064.2344</x:v>
      </x:c>
    </x:row>
    <x:row r="2363">
      <x:c r="A2363" t="n">
        <x:v>6914</x:v>
      </x:c>
      <x:c r="B2363" t="str">
        <x:v>2024-12</x:v>
      </x:c>
      <x:c r="C2363" t="str">
        <x:v>Salaried</x:v>
      </x:c>
      <x:c r="D2363" t="str">
        <x:v>Group A</x:v>
      </x:c>
      <x:c r="E2363" s="26" t="n">
        <x:v>17600.38</x:v>
      </x:c>
      <x:c r="F2363" t="n">
        <x:v>0</x:v>
      </x:c>
      <x:c r="G2363" s="25" t="n">
        <x:v>0.175441</x:v>
      </x:c>
      <x:c r="H2363" t="n">
        <x:f>IF(G2363&lt;$B$6,1,0)</x:f>
        <x:v>0</x:v>
      </x:c>
      <x:c r="I2363" s="26" t="n">
        <x:f>H2363*IF(F2363=0,E2363*$B$7,-E2363*$B$8)</x:f>
        <x:v>0</x:v>
      </x:c>
    </x:row>
    <x:row r="2364">
      <x:c r="A2364" t="n">
        <x:v>7007</x:v>
      </x:c>
      <x:c r="B2364" t="str">
        <x:v>2024-12</x:v>
      </x:c>
      <x:c r="C2364" t="str">
        <x:v>Contract</x:v>
      </x:c>
      <x:c r="D2364" t="str">
        <x:v>Group B</x:v>
      </x:c>
      <x:c r="E2364" s="26" t="n">
        <x:v>32143.15</x:v>
      </x:c>
      <x:c r="F2364" t="n">
        <x:v>0</x:v>
      </x:c>
      <x:c r="G2364" s="25" t="n">
        <x:v>0.40472</x:v>
      </x:c>
      <x:c r="H2364" t="n">
        <x:f>IF(G2364&lt;$B$6,1,0)</x:f>
        <x:v>0</x:v>
      </x:c>
      <x:c r="I2364" s="26" t="n">
        <x:f>H2364*IF(F2364=0,E2364*$B$7,-E2364*$B$8)</x:f>
        <x:v>0</x:v>
      </x:c>
    </x:row>
    <x:row r="2365">
      <x:c r="A2365" t="n">
        <x:v>7014</x:v>
      </x:c>
      <x:c r="B2365" t="str">
        <x:v>2024-12</x:v>
      </x:c>
      <x:c r="C2365" t="str">
        <x:v>Self employed</x:v>
      </x:c>
      <x:c r="D2365" t="str">
        <x:v>Group A</x:v>
      </x:c>
      <x:c r="E2365" s="26" t="n">
        <x:v>5132.3</x:v>
      </x:c>
      <x:c r="F2365" t="n">
        <x:v>1</x:v>
      </x:c>
      <x:c r="G2365" s="25" t="n">
        <x:v>0.05227</x:v>
      </x:c>
      <x:c r="H2365" t="n">
        <x:f>IF(G2365&lt;$B$6,1,0)</x:f>
        <x:v>1</x:v>
      </x:c>
      <x:c r="I2365" s="26" t="n">
        <x:f>H2365*IF(F2365=0,E2365*$B$7,-E2365*$B$8)</x:f>
        <x:v>-3335.9950000000003</x:v>
      </x:c>
    </x:row>
    <x:row r="2366">
      <x:c r="A2366" t="n">
        <x:v>7043</x:v>
      </x:c>
      <x:c r="B2366" t="str">
        <x:v>2024-12</x:v>
      </x:c>
      <x:c r="C2366" t="str">
        <x:v>Self employed</x:v>
      </x:c>
      <x:c r="D2366" t="str">
        <x:v>Group A</x:v>
      </x:c>
      <x:c r="E2366" s="26" t="n">
        <x:v>28863.08</x:v>
      </x:c>
      <x:c r="F2366" t="n">
        <x:v>0</x:v>
      </x:c>
      <x:c r="G2366" s="25" t="n">
        <x:v>0.089955</x:v>
      </x:c>
      <x:c r="H2366" t="n">
        <x:f>IF(G2366&lt;$B$6,1,0)</x:f>
        <x:v>1</x:v>
      </x:c>
      <x:c r="I2366" s="26" t="n">
        <x:f>H2366*IF(F2366=0,E2366*$B$7,-E2366*$B$8)</x:f>
        <x:v>3463.5696000000003</x:v>
      </x:c>
    </x:row>
    <x:row r="2367">
      <x:c r="A2367" t="n">
        <x:v>7071</x:v>
      </x:c>
      <x:c r="B2367" t="str">
        <x:v>2024-12</x:v>
      </x:c>
      <x:c r="C2367" t="str">
        <x:v>Salaried</x:v>
      </x:c>
      <x:c r="D2367" t="str">
        <x:v>Group B</x:v>
      </x:c>
      <x:c r="E2367" s="26" t="n">
        <x:v>19348.9</x:v>
      </x:c>
      <x:c r="F2367" t="n">
        <x:v>0</x:v>
      </x:c>
      <x:c r="G2367" s="25" t="n">
        <x:v>0.210493</x:v>
      </x:c>
      <x:c r="H2367" t="n">
        <x:f>IF(G2367&lt;$B$6,1,0)</x:f>
        <x:v>0</x:v>
      </x:c>
      <x:c r="I2367" s="26" t="n">
        <x:f>H2367*IF(F2367=0,E2367*$B$7,-E2367*$B$8)</x:f>
        <x:v>0</x:v>
      </x:c>
    </x:row>
    <x:row r="2368">
      <x:c r="A2368" t="n">
        <x:v>7073</x:v>
      </x:c>
      <x:c r="B2368" t="str">
        <x:v>2024-12</x:v>
      </x:c>
      <x:c r="C2368" t="str">
        <x:v>Contract</x:v>
      </x:c>
      <x:c r="D2368" t="str">
        <x:v>Group B</x:v>
      </x:c>
      <x:c r="E2368" s="26" t="n">
        <x:v>10256.12</x:v>
      </x:c>
      <x:c r="F2368" t="n">
        <x:v>0</x:v>
      </x:c>
      <x:c r="G2368" s="25" t="n">
        <x:v>0.243794</x:v>
      </x:c>
      <x:c r="H2368" t="n">
        <x:f>IF(G2368&lt;$B$6,1,0)</x:f>
        <x:v>0</x:v>
      </x:c>
      <x:c r="I2368" s="26" t="n">
        <x:f>H2368*IF(F2368=0,E2368*$B$7,-E2368*$B$8)</x:f>
        <x:v>0</x:v>
      </x:c>
    </x:row>
    <x:row r="2369">
      <x:c r="A2369" t="n">
        <x:v>7076</x:v>
      </x:c>
      <x:c r="B2369" t="str">
        <x:v>2024-12</x:v>
      </x:c>
      <x:c r="C2369" t="str">
        <x:v>Salaried</x:v>
      </x:c>
      <x:c r="D2369" t="str">
        <x:v>Group B</x:v>
      </x:c>
      <x:c r="E2369" s="26" t="n">
        <x:v>8839.71</x:v>
      </x:c>
      <x:c r="F2369" t="n">
        <x:v>0</x:v>
      </x:c>
      <x:c r="G2369" s="25" t="n">
        <x:v>0.096593</x:v>
      </x:c>
      <x:c r="H2369" t="n">
        <x:f>IF(G2369&lt;$B$6,1,0)</x:f>
        <x:v>1</x:v>
      </x:c>
      <x:c r="I2369" s="26" t="n">
        <x:f>H2369*IF(F2369=0,E2369*$B$7,-E2369*$B$8)</x:f>
        <x:v>1060.7651999999998</x:v>
      </x:c>
    </x:row>
    <x:row r="2370">
      <x:c r="A2370" t="n">
        <x:v>7093</x:v>
      </x:c>
      <x:c r="B2370" t="str">
        <x:v>2024-12</x:v>
      </x:c>
      <x:c r="C2370" t="str">
        <x:v>Contract</x:v>
      </x:c>
      <x:c r="D2370" t="str">
        <x:v>Group A</x:v>
      </x:c>
      <x:c r="E2370" s="26" t="n">
        <x:v>28264.38</x:v>
      </x:c>
      <x:c r="F2370" t="n">
        <x:v>0</x:v>
      </x:c>
      <x:c r="G2370" s="25" t="n">
        <x:v>0.058901</x:v>
      </x:c>
      <x:c r="H2370" t="n">
        <x:f>IF(G2370&lt;$B$6,1,0)</x:f>
        <x:v>1</x:v>
      </x:c>
      <x:c r="I2370" s="26" t="n">
        <x:f>H2370*IF(F2370=0,E2370*$B$7,-E2370*$B$8)</x:f>
        <x:v>3391.7256</x:v>
      </x:c>
    </x:row>
    <x:row r="2371">
      <x:c r="A2371" t="n">
        <x:v>7158</x:v>
      </x:c>
      <x:c r="B2371" t="str">
        <x:v>2024-12</x:v>
      </x:c>
      <x:c r="C2371" t="str">
        <x:v>Salaried</x:v>
      </x:c>
      <x:c r="D2371" t="str">
        <x:v>Group A</x:v>
      </x:c>
      <x:c r="E2371" s="26" t="n">
        <x:v>18464.89</x:v>
      </x:c>
      <x:c r="F2371" t="n">
        <x:v>0</x:v>
      </x:c>
      <x:c r="G2371" s="25" t="n">
        <x:v>0.094136</x:v>
      </x:c>
      <x:c r="H2371" t="n">
        <x:f>IF(G2371&lt;$B$6,1,0)</x:f>
        <x:v>1</x:v>
      </x:c>
      <x:c r="I2371" s="26" t="n">
        <x:f>H2371*IF(F2371=0,E2371*$B$7,-E2371*$B$8)</x:f>
        <x:v>2215.7868</x:v>
      </x:c>
    </x:row>
    <x:row r="2372">
      <x:c r="A2372" t="n">
        <x:v>7176</x:v>
      </x:c>
      <x:c r="B2372" t="str">
        <x:v>2024-12</x:v>
      </x:c>
      <x:c r="C2372" t="str">
        <x:v>Salaried</x:v>
      </x:c>
      <x:c r="D2372" t="str">
        <x:v>Group A</x:v>
      </x:c>
      <x:c r="E2372" s="26" t="n">
        <x:v>24566.96</x:v>
      </x:c>
      <x:c r="F2372" t="n">
        <x:v>0</x:v>
      </x:c>
      <x:c r="G2372" s="25" t="n">
        <x:v>0.047685</x:v>
      </x:c>
      <x:c r="H2372" t="n">
        <x:f>IF(G2372&lt;$B$6,1,0)</x:f>
        <x:v>1</x:v>
      </x:c>
      <x:c r="I2372" s="26" t="n">
        <x:f>H2372*IF(F2372=0,E2372*$B$7,-E2372*$B$8)</x:f>
        <x:v>2948.0352</x:v>
      </x:c>
    </x:row>
    <x:row r="2373">
      <x:c r="A2373" t="n">
        <x:v>7250</x:v>
      </x:c>
      <x:c r="B2373" t="str">
        <x:v>2024-12</x:v>
      </x:c>
      <x:c r="C2373" t="str">
        <x:v>Salaried</x:v>
      </x:c>
      <x:c r="D2373" t="str">
        <x:v>Group A</x:v>
      </x:c>
      <x:c r="E2373" s="26" t="n">
        <x:v>27562.37</x:v>
      </x:c>
      <x:c r="F2373" t="n">
        <x:v>0</x:v>
      </x:c>
      <x:c r="G2373" s="25" t="n">
        <x:v>0.294429</x:v>
      </x:c>
      <x:c r="H2373" t="n">
        <x:f>IF(G2373&lt;$B$6,1,0)</x:f>
        <x:v>0</x:v>
      </x:c>
      <x:c r="I2373" s="26" t="n">
        <x:f>H2373*IF(F2373=0,E2373*$B$7,-E2373*$B$8)</x:f>
        <x:v>0</x:v>
      </x:c>
    </x:row>
    <x:row r="2374">
      <x:c r="A2374" t="n">
        <x:v>7251</x:v>
      </x:c>
      <x:c r="B2374" t="str">
        <x:v>2024-12</x:v>
      </x:c>
      <x:c r="C2374" t="str">
        <x:v>Self employed</x:v>
      </x:c>
      <x:c r="D2374" t="str">
        <x:v>Group A</x:v>
      </x:c>
      <x:c r="E2374" s="26" t="n">
        <x:v>23143.81</x:v>
      </x:c>
      <x:c r="F2374" t="n">
        <x:v>0</x:v>
      </x:c>
      <x:c r="G2374" s="25" t="n">
        <x:v>0.200859</x:v>
      </x:c>
      <x:c r="H2374" t="n">
        <x:f>IF(G2374&lt;$B$6,1,0)</x:f>
        <x:v>0</x:v>
      </x:c>
      <x:c r="I2374" s="26" t="n">
        <x:f>H2374*IF(F2374=0,E2374*$B$7,-E2374*$B$8)</x:f>
        <x:v>0</x:v>
      </x:c>
    </x:row>
    <x:row r="2375">
      <x:c r="A2375" t="n">
        <x:v>7258</x:v>
      </x:c>
      <x:c r="B2375" t="str">
        <x:v>2024-12</x:v>
      </x:c>
      <x:c r="C2375" t="str">
        <x:v>Salaried</x:v>
      </x:c>
      <x:c r="D2375" t="str">
        <x:v>Group A</x:v>
      </x:c>
      <x:c r="E2375" s="26" t="n">
        <x:v>11421.9</x:v>
      </x:c>
      <x:c r="F2375" t="n">
        <x:v>1</x:v>
      </x:c>
      <x:c r="G2375" s="25" t="n">
        <x:v>0.066885</x:v>
      </x:c>
      <x:c r="H2375" t="n">
        <x:f>IF(G2375&lt;$B$6,1,0)</x:f>
        <x:v>1</x:v>
      </x:c>
      <x:c r="I2375" s="26" t="n">
        <x:f>H2375*IF(F2375=0,E2375*$B$7,-E2375*$B$8)</x:f>
        <x:v>-7424.235</x:v>
      </x:c>
    </x:row>
    <x:row r="2376">
      <x:c r="A2376" t="n">
        <x:v>7260</x:v>
      </x:c>
      <x:c r="B2376" t="str">
        <x:v>2024-12</x:v>
      </x:c>
      <x:c r="C2376" t="str">
        <x:v>Contract</x:v>
      </x:c>
      <x:c r="D2376" t="str">
        <x:v>Group A</x:v>
      </x:c>
      <x:c r="E2376" s="26" t="n">
        <x:v>12556.64</x:v>
      </x:c>
      <x:c r="F2376" t="n">
        <x:v>0</x:v>
      </x:c>
      <x:c r="G2376" s="25" t="n">
        <x:v>0.367521</x:v>
      </x:c>
      <x:c r="H2376" t="n">
        <x:f>IF(G2376&lt;$B$6,1,0)</x:f>
        <x:v>0</x:v>
      </x:c>
      <x:c r="I2376" s="26" t="n">
        <x:f>H2376*IF(F2376=0,E2376*$B$7,-E2376*$B$8)</x:f>
        <x:v>0</x:v>
      </x:c>
    </x:row>
    <x:row r="2377">
      <x:c r="A2377" t="n">
        <x:v>7288</x:v>
      </x:c>
      <x:c r="B2377" t="str">
        <x:v>2024-12</x:v>
      </x:c>
      <x:c r="C2377" t="str">
        <x:v>Salaried</x:v>
      </x:c>
      <x:c r="D2377" t="str">
        <x:v>Group A</x:v>
      </x:c>
      <x:c r="E2377" s="26" t="n">
        <x:v>3641.32</x:v>
      </x:c>
      <x:c r="F2377" t="n">
        <x:v>0</x:v>
      </x:c>
      <x:c r="G2377" s="25" t="n">
        <x:v>0.046404</x:v>
      </x:c>
      <x:c r="H2377" t="n">
        <x:f>IF(G2377&lt;$B$6,1,0)</x:f>
        <x:v>1</x:v>
      </x:c>
      <x:c r="I2377" s="26" t="n">
        <x:f>H2377*IF(F2377=0,E2377*$B$7,-E2377*$B$8)</x:f>
        <x:v>436.9584</x:v>
      </x:c>
    </x:row>
    <x:row r="2378">
      <x:c r="A2378" t="n">
        <x:v>7308</x:v>
      </x:c>
      <x:c r="B2378" t="str">
        <x:v>2024-12</x:v>
      </x:c>
      <x:c r="C2378" t="str">
        <x:v>Salaried</x:v>
      </x:c>
      <x:c r="D2378" t="str">
        <x:v>Group A</x:v>
      </x:c>
      <x:c r="E2378" s="26" t="n">
        <x:v>6982.38</x:v>
      </x:c>
      <x:c r="F2378" t="n">
        <x:v>1</x:v>
      </x:c>
      <x:c r="G2378" s="25" t="n">
        <x:v>0.348287</x:v>
      </x:c>
      <x:c r="H2378" t="n">
        <x:f>IF(G2378&lt;$B$6,1,0)</x:f>
        <x:v>0</x:v>
      </x:c>
      <x:c r="I2378" s="26" t="n">
        <x:f>H2378*IF(F2378=0,E2378*$B$7,-E2378*$B$8)</x:f>
        <x:v>0</x:v>
      </x:c>
    </x:row>
    <x:row r="2379">
      <x:c r="A2379" t="n">
        <x:v>7314</x:v>
      </x:c>
      <x:c r="B2379" t="str">
        <x:v>2024-12</x:v>
      </x:c>
      <x:c r="C2379" t="str">
        <x:v>Salaried</x:v>
      </x:c>
      <x:c r="D2379" t="str">
        <x:v>Group A</x:v>
      </x:c>
      <x:c r="E2379" s="26" t="n">
        <x:v>25098.34</x:v>
      </x:c>
      <x:c r="F2379" t="n">
        <x:v>1</x:v>
      </x:c>
      <x:c r="G2379" s="25" t="n">
        <x:v>0.131009</x:v>
      </x:c>
      <x:c r="H2379" t="n">
        <x:f>IF(G2379&lt;$B$6,1,0)</x:f>
        <x:v>1</x:v>
      </x:c>
      <x:c r="I2379" s="26" t="n">
        <x:f>H2379*IF(F2379=0,E2379*$B$7,-E2379*$B$8)</x:f>
        <x:v>-16313.921</x:v>
      </x:c>
    </x:row>
    <x:row r="2380">
      <x:c r="A2380" t="n">
        <x:v>7316</x:v>
      </x:c>
      <x:c r="B2380" t="str">
        <x:v>2024-12</x:v>
      </x:c>
      <x:c r="C2380" t="str">
        <x:v>Contract</x:v>
      </x:c>
      <x:c r="D2380" t="str">
        <x:v>Group B</x:v>
      </x:c>
      <x:c r="E2380" s="26" t="n">
        <x:v>5438.2</x:v>
      </x:c>
      <x:c r="F2380" t="n">
        <x:v>0</x:v>
      </x:c>
      <x:c r="G2380" s="25" t="n">
        <x:v>0.102466</x:v>
      </x:c>
      <x:c r="H2380" t="n">
        <x:f>IF(G2380&lt;$B$6,1,0)</x:f>
        <x:v>1</x:v>
      </x:c>
      <x:c r="I2380" s="26" t="n">
        <x:f>H2380*IF(F2380=0,E2380*$B$7,-E2380*$B$8)</x:f>
        <x:v>652.584</x:v>
      </x:c>
    </x:row>
    <x:row r="2381">
      <x:c r="A2381" t="n">
        <x:v>7317</x:v>
      </x:c>
      <x:c r="B2381" t="str">
        <x:v>2024-12</x:v>
      </x:c>
      <x:c r="C2381" t="str">
        <x:v>Self employed</x:v>
      </x:c>
      <x:c r="D2381" t="str">
        <x:v>Group B</x:v>
      </x:c>
      <x:c r="E2381" s="26" t="n">
        <x:v>22697.51</x:v>
      </x:c>
      <x:c r="F2381" t="n">
        <x:v>1</x:v>
      </x:c>
      <x:c r="G2381" s="25" t="n">
        <x:v>0.337752</x:v>
      </x:c>
      <x:c r="H2381" t="n">
        <x:f>IF(G2381&lt;$B$6,1,0)</x:f>
        <x:v>0</x:v>
      </x:c>
      <x:c r="I2381" s="26" t="n">
        <x:f>H2381*IF(F2381=0,E2381*$B$7,-E2381*$B$8)</x:f>
        <x:v>0</x:v>
      </x:c>
    </x:row>
    <x:row r="2382">
      <x:c r="A2382" t="n">
        <x:v>7327</x:v>
      </x:c>
      <x:c r="B2382" t="str">
        <x:v>2024-12</x:v>
      </x:c>
      <x:c r="C2382" t="str">
        <x:v>Salaried</x:v>
      </x:c>
      <x:c r="D2382" t="str">
        <x:v>Group B</x:v>
      </x:c>
      <x:c r="E2382" s="26" t="n">
        <x:v>31770.05</x:v>
      </x:c>
      <x:c r="F2382" t="n">
        <x:v>0</x:v>
      </x:c>
      <x:c r="G2382" s="25" t="n">
        <x:v>0.077535</x:v>
      </x:c>
      <x:c r="H2382" t="n">
        <x:f>IF(G2382&lt;$B$6,1,0)</x:f>
        <x:v>1</x:v>
      </x:c>
      <x:c r="I2382" s="26" t="n">
        <x:f>H2382*IF(F2382=0,E2382*$B$7,-E2382*$B$8)</x:f>
        <x:v>3812.406</x:v>
      </x:c>
    </x:row>
    <x:row r="2383">
      <x:c r="A2383" t="n">
        <x:v>7428</x:v>
      </x:c>
      <x:c r="B2383" t="str">
        <x:v>2024-12</x:v>
      </x:c>
      <x:c r="C2383" t="str">
        <x:v>Salaried</x:v>
      </x:c>
      <x:c r="D2383" t="str">
        <x:v>Group A</x:v>
      </x:c>
      <x:c r="E2383" s="26" t="n">
        <x:v>18080.44</x:v>
      </x:c>
      <x:c r="F2383" t="n">
        <x:v>1</x:v>
      </x:c>
      <x:c r="G2383" s="25" t="n">
        <x:v>0.555461</x:v>
      </x:c>
      <x:c r="H2383" t="n">
        <x:f>IF(G2383&lt;$B$6,1,0)</x:f>
        <x:v>0</x:v>
      </x:c>
      <x:c r="I2383" s="26" t="n">
        <x:f>H2383*IF(F2383=0,E2383*$B$7,-E2383*$B$8)</x:f>
        <x:v>0</x:v>
      </x:c>
    </x:row>
    <x:row r="2384">
      <x:c r="A2384" t="n">
        <x:v>7433</x:v>
      </x:c>
      <x:c r="B2384" t="str">
        <x:v>2024-12</x:v>
      </x:c>
      <x:c r="C2384" t="str">
        <x:v>Salaried</x:v>
      </x:c>
      <x:c r="D2384" t="str">
        <x:v>Group A</x:v>
      </x:c>
      <x:c r="E2384" s="26" t="n">
        <x:v>11211.26</x:v>
      </x:c>
      <x:c r="F2384" t="n">
        <x:v>0</x:v>
      </x:c>
      <x:c r="G2384" s="25" t="n">
        <x:v>0.146608</x:v>
      </x:c>
      <x:c r="H2384" t="n">
        <x:f>IF(G2384&lt;$B$6,1,0)</x:f>
        <x:v>1</x:v>
      </x:c>
      <x:c r="I2384" s="26" t="n">
        <x:f>H2384*IF(F2384=0,E2384*$B$7,-E2384*$B$8)</x:f>
        <x:v>1345.3512</x:v>
      </x:c>
    </x:row>
    <x:row r="2385">
      <x:c r="A2385" t="n">
        <x:v>7440</x:v>
      </x:c>
      <x:c r="B2385" t="str">
        <x:v>2024-12</x:v>
      </x:c>
      <x:c r="C2385" t="str">
        <x:v>Salaried</x:v>
      </x:c>
      <x:c r="D2385" t="str">
        <x:v>Group A</x:v>
      </x:c>
      <x:c r="E2385" s="26" t="n">
        <x:v>12833.15</x:v>
      </x:c>
      <x:c r="F2385" t="n">
        <x:v>1</x:v>
      </x:c>
      <x:c r="G2385" s="25" t="n">
        <x:v>0.382978</x:v>
      </x:c>
      <x:c r="H2385" t="n">
        <x:f>IF(G2385&lt;$B$6,1,0)</x:f>
        <x:v>0</x:v>
      </x:c>
      <x:c r="I2385" s="26" t="n">
        <x:f>H2385*IF(F2385=0,E2385*$B$7,-E2385*$B$8)</x:f>
        <x:v>0</x:v>
      </x:c>
    </x:row>
    <x:row r="2386">
      <x:c r="A2386" t="n">
        <x:v>7456</x:v>
      </x:c>
      <x:c r="B2386" t="str">
        <x:v>2024-12</x:v>
      </x:c>
      <x:c r="C2386" t="str">
        <x:v>Salaried</x:v>
      </x:c>
      <x:c r="D2386" t="str">
        <x:v>Group A</x:v>
      </x:c>
      <x:c r="E2386" s="26" t="n">
        <x:v>27162.97</x:v>
      </x:c>
      <x:c r="F2386" t="n">
        <x:v>0</x:v>
      </x:c>
      <x:c r="G2386" s="25" t="n">
        <x:v>0.410314</x:v>
      </x:c>
      <x:c r="H2386" t="n">
        <x:f>IF(G2386&lt;$B$6,1,0)</x:f>
        <x:v>0</x:v>
      </x:c>
      <x:c r="I2386" s="26" t="n">
        <x:f>H2386*IF(F2386=0,E2386*$B$7,-E2386*$B$8)</x:f>
        <x:v>0</x:v>
      </x:c>
    </x:row>
    <x:row r="2387">
      <x:c r="A2387" t="n">
        <x:v>7506</x:v>
      </x:c>
      <x:c r="B2387" t="str">
        <x:v>2024-12</x:v>
      </x:c>
      <x:c r="C2387" t="str">
        <x:v>Salaried</x:v>
      </x:c>
      <x:c r="D2387" t="str">
        <x:v>Group B</x:v>
      </x:c>
      <x:c r="E2387" s="26" t="n">
        <x:v>27242.34</x:v>
      </x:c>
      <x:c r="F2387" t="n">
        <x:v>1</x:v>
      </x:c>
      <x:c r="G2387" s="25" t="n">
        <x:v>0.625823</x:v>
      </x:c>
      <x:c r="H2387" t="n">
        <x:f>IF(G2387&lt;$B$6,1,0)</x:f>
        <x:v>0</x:v>
      </x:c>
      <x:c r="I2387" s="26" t="n">
        <x:f>H2387*IF(F2387=0,E2387*$B$7,-E2387*$B$8)</x:f>
        <x:v>0</x:v>
      </x:c>
    </x:row>
    <x:row r="2388">
      <x:c r="A2388" t="n">
        <x:v>7535</x:v>
      </x:c>
      <x:c r="B2388" t="str">
        <x:v>2024-12</x:v>
      </x:c>
      <x:c r="C2388" t="str">
        <x:v>Salaried</x:v>
      </x:c>
      <x:c r="D2388" t="str">
        <x:v>Group A</x:v>
      </x:c>
      <x:c r="E2388" s="26" t="n">
        <x:v>16712.61</x:v>
      </x:c>
      <x:c r="F2388" t="n">
        <x:v>0</x:v>
      </x:c>
      <x:c r="G2388" s="25" t="n">
        <x:v>0.269341</x:v>
      </x:c>
      <x:c r="H2388" t="n">
        <x:f>IF(G2388&lt;$B$6,1,0)</x:f>
        <x:v>0</x:v>
      </x:c>
      <x:c r="I2388" s="26" t="n">
        <x:f>H2388*IF(F2388=0,E2388*$B$7,-E2388*$B$8)</x:f>
        <x:v>0</x:v>
      </x:c>
    </x:row>
    <x:row r="2389">
      <x:c r="A2389" t="n">
        <x:v>7557</x:v>
      </x:c>
      <x:c r="B2389" t="str">
        <x:v>2024-12</x:v>
      </x:c>
      <x:c r="C2389" t="str">
        <x:v>Salaried</x:v>
      </x:c>
      <x:c r="D2389" t="str">
        <x:v>Group B</x:v>
      </x:c>
      <x:c r="E2389" s="26" t="n">
        <x:v>31327.75</x:v>
      </x:c>
      <x:c r="F2389" t="n">
        <x:v>1</x:v>
      </x:c>
      <x:c r="G2389" s="25" t="n">
        <x:v>0.533054</x:v>
      </x:c>
      <x:c r="H2389" t="n">
        <x:f>IF(G2389&lt;$B$6,1,0)</x:f>
        <x:v>0</x:v>
      </x:c>
      <x:c r="I2389" s="26" t="n">
        <x:f>H2389*IF(F2389=0,E2389*$B$7,-E2389*$B$8)</x:f>
        <x:v>0</x:v>
      </x:c>
    </x:row>
    <x:row r="2390">
      <x:c r="A2390" t="n">
        <x:v>7561</x:v>
      </x:c>
      <x:c r="B2390" t="str">
        <x:v>2024-12</x:v>
      </x:c>
      <x:c r="C2390" t="str">
        <x:v>Salaried</x:v>
      </x:c>
      <x:c r="D2390" t="str">
        <x:v>Group A</x:v>
      </x:c>
      <x:c r="E2390" s="26" t="n">
        <x:v>11453</x:v>
      </x:c>
      <x:c r="F2390" t="n">
        <x:v>0</x:v>
      </x:c>
      <x:c r="G2390" s="25" t="n">
        <x:v>0.052596</x:v>
      </x:c>
      <x:c r="H2390" t="n">
        <x:f>IF(G2390&lt;$B$6,1,0)</x:f>
        <x:v>1</x:v>
      </x:c>
      <x:c r="I2390" s="26" t="n">
        <x:f>H2390*IF(F2390=0,E2390*$B$7,-E2390*$B$8)</x:f>
        <x:v>1374.36</x:v>
      </x:c>
    </x:row>
    <x:row r="2391">
      <x:c r="A2391" t="n">
        <x:v>7597</x:v>
      </x:c>
      <x:c r="B2391" t="str">
        <x:v>2024-12</x:v>
      </x:c>
      <x:c r="C2391" t="str">
        <x:v>Salaried</x:v>
      </x:c>
      <x:c r="D2391" t="str">
        <x:v>Group B</x:v>
      </x:c>
      <x:c r="E2391" s="26" t="n">
        <x:v>13597.27</x:v>
      </x:c>
      <x:c r="F2391" t="n">
        <x:v>1</x:v>
      </x:c>
      <x:c r="G2391" s="25" t="n">
        <x:v>0.776912</x:v>
      </x:c>
      <x:c r="H2391" t="n">
        <x:f>IF(G2391&lt;$B$6,1,0)</x:f>
        <x:v>0</x:v>
      </x:c>
      <x:c r="I2391" s="26" t="n">
        <x:f>H2391*IF(F2391=0,E2391*$B$7,-E2391*$B$8)</x:f>
        <x:v>0</x:v>
      </x:c>
    </x:row>
    <x:row r="2392">
      <x:c r="A2392" t="n">
        <x:v>7599</x:v>
      </x:c>
      <x:c r="B2392" t="str">
        <x:v>2024-12</x:v>
      </x:c>
      <x:c r="C2392" t="str">
        <x:v>Contract</x:v>
      </x:c>
      <x:c r="D2392" t="str">
        <x:v>Group A</x:v>
      </x:c>
      <x:c r="E2392" s="26" t="n">
        <x:v>44047.46</x:v>
      </x:c>
      <x:c r="F2392" t="n">
        <x:v>0</x:v>
      </x:c>
      <x:c r="G2392" s="25" t="n">
        <x:v>0.613022</x:v>
      </x:c>
      <x:c r="H2392" t="n">
        <x:f>IF(G2392&lt;$B$6,1,0)</x:f>
        <x:v>0</x:v>
      </x:c>
      <x:c r="I2392" s="26" t="n">
        <x:f>H2392*IF(F2392=0,E2392*$B$7,-E2392*$B$8)</x:f>
        <x:v>0</x:v>
      </x:c>
    </x:row>
    <x:row r="2393">
      <x:c r="A2393" t="n">
        <x:v>7616</x:v>
      </x:c>
      <x:c r="B2393" t="str">
        <x:v>2024-12</x:v>
      </x:c>
      <x:c r="C2393" t="str">
        <x:v>Salaried</x:v>
      </x:c>
      <x:c r="D2393" t="str">
        <x:v>Group B</x:v>
      </x:c>
      <x:c r="E2393" s="26" t="n">
        <x:v>31935.3</x:v>
      </x:c>
      <x:c r="F2393" t="n">
        <x:v>0</x:v>
      </x:c>
      <x:c r="G2393" s="25" t="n">
        <x:v>0.634186</x:v>
      </x:c>
      <x:c r="H2393" t="n">
        <x:f>IF(G2393&lt;$B$6,1,0)</x:f>
        <x:v>0</x:v>
      </x:c>
      <x:c r="I2393" s="26" t="n">
        <x:f>H2393*IF(F2393=0,E2393*$B$7,-E2393*$B$8)</x:f>
        <x:v>0</x:v>
      </x:c>
    </x:row>
    <x:row r="2394">
      <x:c r="A2394" t="n">
        <x:v>7678</x:v>
      </x:c>
      <x:c r="B2394" t="str">
        <x:v>2024-12</x:v>
      </x:c>
      <x:c r="C2394" t="str">
        <x:v>Salaried</x:v>
      </x:c>
      <x:c r="D2394" t="str">
        <x:v>Group A</x:v>
      </x:c>
      <x:c r="E2394" s="26" t="n">
        <x:v>15142.24</x:v>
      </x:c>
      <x:c r="F2394" t="n">
        <x:v>0</x:v>
      </x:c>
      <x:c r="G2394" s="25" t="n">
        <x:v>0.043975</x:v>
      </x:c>
      <x:c r="H2394" t="n">
        <x:f>IF(G2394&lt;$B$6,1,0)</x:f>
        <x:v>1</x:v>
      </x:c>
      <x:c r="I2394" s="26" t="n">
        <x:f>H2394*IF(F2394=0,E2394*$B$7,-E2394*$B$8)</x:f>
        <x:v>1817.0688</x:v>
      </x:c>
    </x:row>
    <x:row r="2395">
      <x:c r="A2395" t="n">
        <x:v>7793</x:v>
      </x:c>
      <x:c r="B2395" t="str">
        <x:v>2024-12</x:v>
      </x:c>
      <x:c r="C2395" t="str">
        <x:v>Salaried</x:v>
      </x:c>
      <x:c r="D2395" t="str">
        <x:v>Group A</x:v>
      </x:c>
      <x:c r="E2395" s="26" t="n">
        <x:v>4295.44</x:v>
      </x:c>
      <x:c r="F2395" t="n">
        <x:v>0</x:v>
      </x:c>
      <x:c r="G2395" s="25" t="n">
        <x:v>0.022683</x:v>
      </x:c>
      <x:c r="H2395" t="n">
        <x:f>IF(G2395&lt;$B$6,1,0)</x:f>
        <x:v>1</x:v>
      </x:c>
      <x:c r="I2395" s="26" t="n">
        <x:f>H2395*IF(F2395=0,E2395*$B$7,-E2395*$B$8)</x:f>
        <x:v>515.4527999999999</x:v>
      </x:c>
    </x:row>
    <x:row r="2396">
      <x:c r="A2396" t="n">
        <x:v>7820</x:v>
      </x:c>
      <x:c r="B2396" t="str">
        <x:v>2024-12</x:v>
      </x:c>
      <x:c r="C2396" t="str">
        <x:v>Salaried</x:v>
      </x:c>
      <x:c r="D2396" t="str">
        <x:v>Group B</x:v>
      </x:c>
      <x:c r="E2396" s="26" t="n">
        <x:v>12162.97</x:v>
      </x:c>
      <x:c r="F2396" t="n">
        <x:v>0</x:v>
      </x:c>
      <x:c r="G2396" s="25" t="n">
        <x:v>0.080783</x:v>
      </x:c>
      <x:c r="H2396" t="n">
        <x:f>IF(G2396&lt;$B$6,1,0)</x:f>
        <x:v>1</x:v>
      </x:c>
      <x:c r="I2396" s="26" t="n">
        <x:f>H2396*IF(F2396=0,E2396*$B$7,-E2396*$B$8)</x:f>
        <x:v>1459.5564</x:v>
      </x:c>
    </x:row>
    <x:row r="2397">
      <x:c r="A2397" t="n">
        <x:v>7846</x:v>
      </x:c>
      <x:c r="B2397" t="str">
        <x:v>2024-12</x:v>
      </x:c>
      <x:c r="C2397" t="str">
        <x:v>Salaried</x:v>
      </x:c>
      <x:c r="D2397" t="str">
        <x:v>Group A</x:v>
      </x:c>
      <x:c r="E2397" s="26" t="n">
        <x:v>8552.26</x:v>
      </x:c>
      <x:c r="F2397" t="n">
        <x:v>0</x:v>
      </x:c>
      <x:c r="G2397" s="25" t="n">
        <x:v>0.091208</x:v>
      </x:c>
      <x:c r="H2397" t="n">
        <x:f>IF(G2397&lt;$B$6,1,0)</x:f>
        <x:v>1</x:v>
      </x:c>
      <x:c r="I2397" s="26" t="n">
        <x:f>H2397*IF(F2397=0,E2397*$B$7,-E2397*$B$8)</x:f>
        <x:v>1026.2712</x:v>
      </x:c>
    </x:row>
    <x:row r="2398">
      <x:c r="A2398" t="n">
        <x:v>7865</x:v>
      </x:c>
      <x:c r="B2398" t="str">
        <x:v>2024-12</x:v>
      </x:c>
      <x:c r="C2398" t="str">
        <x:v>Salaried</x:v>
      </x:c>
      <x:c r="D2398" t="str">
        <x:v>Group B</x:v>
      </x:c>
      <x:c r="E2398" s="26" t="n">
        <x:v>3772.93</x:v>
      </x:c>
      <x:c r="F2398" t="n">
        <x:v>0</x:v>
      </x:c>
      <x:c r="G2398" s="25" t="n">
        <x:v>0.043463</x:v>
      </x:c>
      <x:c r="H2398" t="n">
        <x:f>IF(G2398&lt;$B$6,1,0)</x:f>
        <x:v>1</x:v>
      </x:c>
      <x:c r="I2398" s="26" t="n">
        <x:f>H2398*IF(F2398=0,E2398*$B$7,-E2398*$B$8)</x:f>
        <x:v>452.75159999999994</x:v>
      </x:c>
    </x:row>
    <x:row r="2399">
      <x:c r="A2399" t="n">
        <x:v>7870</x:v>
      </x:c>
      <x:c r="B2399" t="str">
        <x:v>2024-12</x:v>
      </x:c>
      <x:c r="C2399" t="str">
        <x:v>Salaried</x:v>
      </x:c>
      <x:c r="D2399" t="str">
        <x:v>Group A</x:v>
      </x:c>
      <x:c r="E2399" s="26" t="n">
        <x:v>10064.71</x:v>
      </x:c>
      <x:c r="F2399" t="n">
        <x:v>0</x:v>
      </x:c>
      <x:c r="G2399" s="25" t="n">
        <x:v>0.288534</x:v>
      </x:c>
      <x:c r="H2399" t="n">
        <x:f>IF(G2399&lt;$B$6,1,0)</x:f>
        <x:v>0</x:v>
      </x:c>
      <x:c r="I2399" s="26" t="n">
        <x:f>H2399*IF(F2399=0,E2399*$B$7,-E2399*$B$8)</x:f>
        <x:v>0</x:v>
      </x:c>
    </x:row>
    <x:row r="2400">
      <x:c r="A2400" t="n">
        <x:v>7873</x:v>
      </x:c>
      <x:c r="B2400" t="str">
        <x:v>2024-12</x:v>
      </x:c>
      <x:c r="C2400" t="str">
        <x:v>Salaried</x:v>
      </x:c>
      <x:c r="D2400" t="str">
        <x:v>Group A</x:v>
      </x:c>
      <x:c r="E2400" s="26" t="n">
        <x:v>8437.57</x:v>
      </x:c>
      <x:c r="F2400" t="n">
        <x:v>0</x:v>
      </x:c>
      <x:c r="G2400" s="25" t="n">
        <x:v>0.1459</x:v>
      </x:c>
      <x:c r="H2400" t="n">
        <x:f>IF(G2400&lt;$B$6,1,0)</x:f>
        <x:v>1</x:v>
      </x:c>
      <x:c r="I2400" s="26" t="n">
        <x:f>H2400*IF(F2400=0,E2400*$B$7,-E2400*$B$8)</x:f>
        <x:v>1012.5083999999999</x:v>
      </x:c>
    </x:row>
    <x:row r="2401">
      <x:c r="A2401" t="n">
        <x:v>7901</x:v>
      </x:c>
      <x:c r="B2401" t="str">
        <x:v>2024-12</x:v>
      </x:c>
      <x:c r="C2401" t="str">
        <x:v>Salaried</x:v>
      </x:c>
      <x:c r="D2401" t="str">
        <x:v>Group A</x:v>
      </x:c>
      <x:c r="E2401" s="26" t="n">
        <x:v>8241.75</x:v>
      </x:c>
      <x:c r="F2401" t="n">
        <x:v>1</x:v>
      </x:c>
      <x:c r="G2401" s="25" t="n">
        <x:v>0.156741</x:v>
      </x:c>
      <x:c r="H2401" t="n">
        <x:f>IF(G2401&lt;$B$6,1,0)</x:f>
        <x:v>1</x:v>
      </x:c>
      <x:c r="I2401" s="26" t="n">
        <x:f>H2401*IF(F2401=0,E2401*$B$7,-E2401*$B$8)</x:f>
        <x:v>-5357.1375</x:v>
      </x:c>
    </x:row>
    <x:row r="2402">
      <x:c r="A2402" t="n">
        <x:v>7923</x:v>
      </x:c>
      <x:c r="B2402" t="str">
        <x:v>2024-12</x:v>
      </x:c>
      <x:c r="C2402" t="str">
        <x:v>Salaried</x:v>
      </x:c>
      <x:c r="D2402" t="str">
        <x:v>Group B</x:v>
      </x:c>
      <x:c r="E2402" s="26" t="n">
        <x:v>14724.36</x:v>
      </x:c>
      <x:c r="F2402" t="n">
        <x:v>0</x:v>
      </x:c>
      <x:c r="G2402" s="25" t="n">
        <x:v>0.11501</x:v>
      </x:c>
      <x:c r="H2402" t="n">
        <x:f>IF(G2402&lt;$B$6,1,0)</x:f>
        <x:v>1</x:v>
      </x:c>
      <x:c r="I2402" s="26" t="n">
        <x:f>H2402*IF(F2402=0,E2402*$B$7,-E2402*$B$8)</x:f>
        <x:v>1766.9232</x:v>
      </x:c>
    </x:row>
    <x:row r="2403">
      <x:c r="A2403" t="n">
        <x:v>7965</x:v>
      </x:c>
      <x:c r="B2403" t="str">
        <x:v>2024-12</x:v>
      </x:c>
      <x:c r="C2403" t="str">
        <x:v>Salaried</x:v>
      </x:c>
      <x:c r="D2403" t="str">
        <x:v>Group A</x:v>
      </x:c>
      <x:c r="E2403" s="26" t="n">
        <x:v>5959.46</x:v>
      </x:c>
      <x:c r="F2403" t="n">
        <x:v>0</x:v>
      </x:c>
      <x:c r="G2403" s="25" t="n">
        <x:v>0.112612</x:v>
      </x:c>
      <x:c r="H2403" t="n">
        <x:f>IF(G2403&lt;$B$6,1,0)</x:f>
        <x:v>1</x:v>
      </x:c>
      <x:c r="I2403" s="26" t="n">
        <x:f>H2403*IF(F2403=0,E2403*$B$7,-E2403*$B$8)</x:f>
        <x:v>715.1351999999999</x:v>
      </x:c>
    </x:row>
    <x:row r="2404">
      <x:c r="A2404" t="n">
        <x:v>7987</x:v>
      </x:c>
      <x:c r="B2404" t="str">
        <x:v>2024-12</x:v>
      </x:c>
      <x:c r="C2404" t="str">
        <x:v>Salaried</x:v>
      </x:c>
      <x:c r="D2404" t="str">
        <x:v>Group A</x:v>
      </x:c>
      <x:c r="E2404" s="26" t="n">
        <x:v>23398.3</x:v>
      </x:c>
      <x:c r="F2404" t="n">
        <x:v>0</x:v>
      </x:c>
      <x:c r="G2404" s="25" t="n">
        <x:v>0.429475</x:v>
      </x:c>
      <x:c r="H2404" t="n">
        <x:f>IF(G2404&lt;$B$6,1,0)</x:f>
        <x:v>0</x:v>
      </x:c>
      <x:c r="I2404" s="26" t="n">
        <x:f>H2404*IF(F2404=0,E2404*$B$7,-E2404*$B$8)</x:f>
        <x:v>0</x:v>
      </x:c>
    </x:row>
    <x:row r="2405">
      <x:c r="A2405" t="n">
        <x:v>8035</x:v>
      </x:c>
      <x:c r="B2405" t="str">
        <x:v>2024-12</x:v>
      </x:c>
      <x:c r="C2405" t="str">
        <x:v>Contract</x:v>
      </x:c>
      <x:c r="D2405" t="str">
        <x:v>Group B</x:v>
      </x:c>
      <x:c r="E2405" s="26" t="n">
        <x:v>5173.76</x:v>
      </x:c>
      <x:c r="F2405" t="n">
        <x:v>1</x:v>
      </x:c>
      <x:c r="G2405" s="25" t="n">
        <x:v>0.393352</x:v>
      </x:c>
      <x:c r="H2405" t="n">
        <x:f>IF(G2405&lt;$B$6,1,0)</x:f>
        <x:v>0</x:v>
      </x:c>
      <x:c r="I2405" s="26" t="n">
        <x:f>H2405*IF(F2405=0,E2405*$B$7,-E2405*$B$8)</x:f>
        <x:v>0</x:v>
      </x:c>
    </x:row>
    <x:row r="2406">
      <x:c r="A2406" t="n">
        <x:v>8036</x:v>
      </x:c>
      <x:c r="B2406" t="str">
        <x:v>2024-12</x:v>
      </x:c>
      <x:c r="C2406" t="str">
        <x:v>Salaried</x:v>
      </x:c>
      <x:c r="D2406" t="str">
        <x:v>Group A</x:v>
      </x:c>
      <x:c r="E2406" s="26" t="n">
        <x:v>45324.75</x:v>
      </x:c>
      <x:c r="F2406" t="n">
        <x:v>0</x:v>
      </x:c>
      <x:c r="G2406" s="25" t="n">
        <x:v>0.283727</x:v>
      </x:c>
      <x:c r="H2406" t="n">
        <x:f>IF(G2406&lt;$B$6,1,0)</x:f>
        <x:v>0</x:v>
      </x:c>
      <x:c r="I2406" s="26" t="n">
        <x:f>H2406*IF(F2406=0,E2406*$B$7,-E2406*$B$8)</x:f>
        <x:v>0</x:v>
      </x:c>
    </x:row>
    <x:row r="2407">
      <x:c r="A2407" t="n">
        <x:v>8104</x:v>
      </x:c>
      <x:c r="B2407" t="str">
        <x:v>2024-12</x:v>
      </x:c>
      <x:c r="C2407" t="str">
        <x:v>Contract</x:v>
      </x:c>
      <x:c r="D2407" t="str">
        <x:v>Group A</x:v>
      </x:c>
      <x:c r="E2407" s="26" t="n">
        <x:v>11217.17</x:v>
      </x:c>
      <x:c r="F2407" t="n">
        <x:v>0</x:v>
      </x:c>
      <x:c r="G2407" s="25" t="n">
        <x:v>0.071094</x:v>
      </x:c>
      <x:c r="H2407" t="n">
        <x:f>IF(G2407&lt;$B$6,1,0)</x:f>
        <x:v>1</x:v>
      </x:c>
      <x:c r="I2407" s="26" t="n">
        <x:f>H2407*IF(F2407=0,E2407*$B$7,-E2407*$B$8)</x:f>
        <x:v>1346.0604</x:v>
      </x:c>
    </x:row>
    <x:row r="2408">
      <x:c r="A2408" t="n">
        <x:v>8136</x:v>
      </x:c>
      <x:c r="B2408" t="str">
        <x:v>2024-12</x:v>
      </x:c>
      <x:c r="C2408" t="str">
        <x:v>Salaried</x:v>
      </x:c>
      <x:c r="D2408" t="str">
        <x:v>Group A</x:v>
      </x:c>
      <x:c r="E2408" s="26" t="n">
        <x:v>10367.95</x:v>
      </x:c>
      <x:c r="F2408" t="n">
        <x:v>1</x:v>
      </x:c>
      <x:c r="G2408" s="25" t="n">
        <x:v>0.74172</x:v>
      </x:c>
      <x:c r="H2408" t="n">
        <x:f>IF(G2408&lt;$B$6,1,0)</x:f>
        <x:v>0</x:v>
      </x:c>
      <x:c r="I2408" s="26" t="n">
        <x:f>H2408*IF(F2408=0,E2408*$B$7,-E2408*$B$8)</x:f>
        <x:v>0</x:v>
      </x:c>
    </x:row>
    <x:row r="2409">
      <x:c r="A2409" t="n">
        <x:v>8145</x:v>
      </x:c>
      <x:c r="B2409" t="str">
        <x:v>2024-12</x:v>
      </x:c>
      <x:c r="C2409" t="str">
        <x:v>Salaried</x:v>
      </x:c>
      <x:c r="D2409" t="str">
        <x:v>Group A</x:v>
      </x:c>
      <x:c r="E2409" s="26" t="n">
        <x:v>13365.72</x:v>
      </x:c>
      <x:c r="F2409" t="n">
        <x:v>0</x:v>
      </x:c>
      <x:c r="G2409" s="25" t="n">
        <x:v>0.260434</x:v>
      </x:c>
      <x:c r="H2409" t="n">
        <x:f>IF(G2409&lt;$B$6,1,0)</x:f>
        <x:v>0</x:v>
      </x:c>
      <x:c r="I2409" s="26" t="n">
        <x:f>H2409*IF(F2409=0,E2409*$B$7,-E2409*$B$8)</x:f>
        <x:v>0</x:v>
      </x:c>
    </x:row>
    <x:row r="2410">
      <x:c r="A2410" t="n">
        <x:v>8151</x:v>
      </x:c>
      <x:c r="B2410" t="str">
        <x:v>2024-12</x:v>
      </x:c>
      <x:c r="C2410" t="str">
        <x:v>Salaried</x:v>
      </x:c>
      <x:c r="D2410" t="str">
        <x:v>Group A</x:v>
      </x:c>
      <x:c r="E2410" s="26" t="n">
        <x:v>10079.91</x:v>
      </x:c>
      <x:c r="F2410" t="n">
        <x:v>0</x:v>
      </x:c>
      <x:c r="G2410" s="25" t="n">
        <x:v>0.184314</x:v>
      </x:c>
      <x:c r="H2410" t="n">
        <x:f>IF(G2410&lt;$B$6,1,0)</x:f>
        <x:v>0</x:v>
      </x:c>
      <x:c r="I2410" s="26" t="n">
        <x:f>H2410*IF(F2410=0,E2410*$B$7,-E2410*$B$8)</x:f>
        <x:v>0</x:v>
      </x:c>
    </x:row>
    <x:row r="2411">
      <x:c r="A2411" t="n">
        <x:v>8267</x:v>
      </x:c>
      <x:c r="B2411" t="str">
        <x:v>2024-12</x:v>
      </x:c>
      <x:c r="C2411" t="str">
        <x:v>Salaried</x:v>
      </x:c>
      <x:c r="D2411" t="str">
        <x:v>Group B</x:v>
      </x:c>
      <x:c r="E2411" s="26" t="n">
        <x:v>21295.63</x:v>
      </x:c>
      <x:c r="F2411" t="n">
        <x:v>0</x:v>
      </x:c>
      <x:c r="G2411" s="25" t="n">
        <x:v>0.016073</x:v>
      </x:c>
      <x:c r="H2411" t="n">
        <x:f>IF(G2411&lt;$B$6,1,0)</x:f>
        <x:v>1</x:v>
      </x:c>
      <x:c r="I2411" s="26" t="n">
        <x:f>H2411*IF(F2411=0,E2411*$B$7,-E2411*$B$8)</x:f>
        <x:v>2555.4756</x:v>
      </x:c>
    </x:row>
    <x:row r="2412">
      <x:c r="A2412" t="n">
        <x:v>8272</x:v>
      </x:c>
      <x:c r="B2412" t="str">
        <x:v>2024-12</x:v>
      </x:c>
      <x:c r="C2412" t="str">
        <x:v>Salaried</x:v>
      </x:c>
      <x:c r="D2412" t="str">
        <x:v>Group B</x:v>
      </x:c>
      <x:c r="E2412" s="26" t="n">
        <x:v>15658.26</x:v>
      </x:c>
      <x:c r="F2412" t="n">
        <x:v>0</x:v>
      </x:c>
      <x:c r="G2412" s="25" t="n">
        <x:v>0.016664</x:v>
      </x:c>
      <x:c r="H2412" t="n">
        <x:f>IF(G2412&lt;$B$6,1,0)</x:f>
        <x:v>1</x:v>
      </x:c>
      <x:c r="I2412" s="26" t="n">
        <x:f>H2412*IF(F2412=0,E2412*$B$7,-E2412*$B$8)</x:f>
        <x:v>1878.9912</x:v>
      </x:c>
    </x:row>
    <x:row r="2413">
      <x:c r="A2413" t="n">
        <x:v>8300</x:v>
      </x:c>
      <x:c r="B2413" t="str">
        <x:v>2024-12</x:v>
      </x:c>
      <x:c r="C2413" t="str">
        <x:v>Salaried</x:v>
      </x:c>
      <x:c r="D2413" t="str">
        <x:v>Group A</x:v>
      </x:c>
      <x:c r="E2413" s="26" t="n">
        <x:v>37861.89</x:v>
      </x:c>
      <x:c r="F2413" t="n">
        <x:v>0</x:v>
      </x:c>
      <x:c r="G2413" s="25" t="n">
        <x:v>0.181759</x:v>
      </x:c>
      <x:c r="H2413" t="n">
        <x:f>IF(G2413&lt;$B$6,1,0)</x:f>
        <x:v>0</x:v>
      </x:c>
      <x:c r="I2413" s="26" t="n">
        <x:f>H2413*IF(F2413=0,E2413*$B$7,-E2413*$B$8)</x:f>
        <x:v>0</x:v>
      </x:c>
    </x:row>
    <x:row r="2414">
      <x:c r="A2414" t="n">
        <x:v>8305</x:v>
      </x:c>
      <x:c r="B2414" t="str">
        <x:v>2024-12</x:v>
      </x:c>
      <x:c r="C2414" t="str">
        <x:v>Salaried</x:v>
      </x:c>
      <x:c r="D2414" t="str">
        <x:v>Group A</x:v>
      </x:c>
      <x:c r="E2414" s="26" t="n">
        <x:v>8663.75</x:v>
      </x:c>
      <x:c r="F2414" t="n">
        <x:v>0</x:v>
      </x:c>
      <x:c r="G2414" s="25" t="n">
        <x:v>0.015356</x:v>
      </x:c>
      <x:c r="H2414" t="n">
        <x:f>IF(G2414&lt;$B$6,1,0)</x:f>
        <x:v>1</x:v>
      </x:c>
      <x:c r="I2414" s="26" t="n">
        <x:f>H2414*IF(F2414=0,E2414*$B$7,-E2414*$B$8)</x:f>
        <x:v>1039.6499999999999</x:v>
      </x:c>
    </x:row>
    <x:row r="2415">
      <x:c r="A2415" t="n">
        <x:v>8336</x:v>
      </x:c>
      <x:c r="B2415" t="str">
        <x:v>2024-12</x:v>
      </x:c>
      <x:c r="C2415" t="str">
        <x:v>Salaried</x:v>
      </x:c>
      <x:c r="D2415" t="str">
        <x:v>Group B</x:v>
      </x:c>
      <x:c r="E2415" s="26" t="n">
        <x:v>15722.59</x:v>
      </x:c>
      <x:c r="F2415" t="n">
        <x:v>0</x:v>
      </x:c>
      <x:c r="G2415" s="25" t="n">
        <x:v>0.113167</x:v>
      </x:c>
      <x:c r="H2415" t="n">
        <x:f>IF(G2415&lt;$B$6,1,0)</x:f>
        <x:v>1</x:v>
      </x:c>
      <x:c r="I2415" s="26" t="n">
        <x:f>H2415*IF(F2415=0,E2415*$B$7,-E2415*$B$8)</x:f>
        <x:v>1886.7107999999998</x:v>
      </x:c>
    </x:row>
    <x:row r="2416">
      <x:c r="A2416" t="n">
        <x:v>8341</x:v>
      </x:c>
      <x:c r="B2416" t="str">
        <x:v>2024-12</x:v>
      </x:c>
      <x:c r="C2416" t="str">
        <x:v>Salaried</x:v>
      </x:c>
      <x:c r="D2416" t="str">
        <x:v>Group B</x:v>
      </x:c>
      <x:c r="E2416" s="26" t="n">
        <x:v>12654.54</x:v>
      </x:c>
      <x:c r="F2416" t="n">
        <x:v>0</x:v>
      </x:c>
      <x:c r="G2416" s="25" t="n">
        <x:v>0.173992</x:v>
      </x:c>
      <x:c r="H2416" t="n">
        <x:f>IF(G2416&lt;$B$6,1,0)</x:f>
        <x:v>0</x:v>
      </x:c>
      <x:c r="I2416" s="26" t="n">
        <x:f>H2416*IF(F2416=0,E2416*$B$7,-E2416*$B$8)</x:f>
        <x:v>0</x:v>
      </x:c>
    </x:row>
    <x:row r="2417">
      <x:c r="A2417" t="n">
        <x:v>8369</x:v>
      </x:c>
      <x:c r="B2417" t="str">
        <x:v>2024-12</x:v>
      </x:c>
      <x:c r="C2417" t="str">
        <x:v>Salaried</x:v>
      </x:c>
      <x:c r="D2417" t="str">
        <x:v>Group A</x:v>
      </x:c>
      <x:c r="E2417" s="26" t="n">
        <x:v>15799.05</x:v>
      </x:c>
      <x:c r="F2417" t="n">
        <x:v>0</x:v>
      </x:c>
      <x:c r="G2417" s="25" t="n">
        <x:v>0.129092</x:v>
      </x:c>
      <x:c r="H2417" t="n">
        <x:f>IF(G2417&lt;$B$6,1,0)</x:f>
        <x:v>1</x:v>
      </x:c>
      <x:c r="I2417" s="26" t="n">
        <x:f>H2417*IF(F2417=0,E2417*$B$7,-E2417*$B$8)</x:f>
        <x:v>1895.8859999999997</x:v>
      </x:c>
    </x:row>
    <x:row r="2418">
      <x:c r="A2418" t="n">
        <x:v>8391</x:v>
      </x:c>
      <x:c r="B2418" t="str">
        <x:v>2024-12</x:v>
      </x:c>
      <x:c r="C2418" t="str">
        <x:v>Salaried</x:v>
      </x:c>
      <x:c r="D2418" t="str">
        <x:v>Group B</x:v>
      </x:c>
      <x:c r="E2418" s="26" t="n">
        <x:v>10162.54</x:v>
      </x:c>
      <x:c r="F2418" t="n">
        <x:v>1</x:v>
      </x:c>
      <x:c r="G2418" s="25" t="n">
        <x:v>0.236564</x:v>
      </x:c>
      <x:c r="H2418" t="n">
        <x:f>IF(G2418&lt;$B$6,1,0)</x:f>
        <x:v>0</x:v>
      </x:c>
      <x:c r="I2418" s="26" t="n">
        <x:f>H2418*IF(F2418=0,E2418*$B$7,-E2418*$B$8)</x:f>
        <x:v>0</x:v>
      </x:c>
    </x:row>
    <x:row r="2419">
      <x:c r="A2419" t="n">
        <x:v>8438</x:v>
      </x:c>
      <x:c r="B2419" t="str">
        <x:v>2024-12</x:v>
      </x:c>
      <x:c r="C2419" t="str">
        <x:v>Salaried</x:v>
      </x:c>
      <x:c r="D2419" t="str">
        <x:v>Group A</x:v>
      </x:c>
      <x:c r="E2419" s="26" t="n">
        <x:v>7910.54</x:v>
      </x:c>
      <x:c r="F2419" t="n">
        <x:v>0</x:v>
      </x:c>
      <x:c r="G2419" s="25" t="n">
        <x:v>0.129571</x:v>
      </x:c>
      <x:c r="H2419" t="n">
        <x:f>IF(G2419&lt;$B$6,1,0)</x:f>
        <x:v>1</x:v>
      </x:c>
      <x:c r="I2419" s="26" t="n">
        <x:f>H2419*IF(F2419=0,E2419*$B$7,-E2419*$B$8)</x:f>
        <x:v>949.2647999999999</x:v>
      </x:c>
    </x:row>
    <x:row r="2420">
      <x:c r="A2420" t="n">
        <x:v>8439</x:v>
      </x:c>
      <x:c r="B2420" t="str">
        <x:v>2024-12</x:v>
      </x:c>
      <x:c r="C2420" t="str">
        <x:v>Salaried</x:v>
      </x:c>
      <x:c r="D2420" t="str">
        <x:v>Group B</x:v>
      </x:c>
      <x:c r="E2420" s="26" t="n">
        <x:v>7555.45</x:v>
      </x:c>
      <x:c r="F2420" t="n">
        <x:v>1</x:v>
      </x:c>
      <x:c r="G2420" s="25" t="n">
        <x:v>0.515794</x:v>
      </x:c>
      <x:c r="H2420" t="n">
        <x:f>IF(G2420&lt;$B$6,1,0)</x:f>
        <x:v>0</x:v>
      </x:c>
      <x:c r="I2420" s="26" t="n">
        <x:f>H2420*IF(F2420=0,E2420*$B$7,-E2420*$B$8)</x:f>
        <x:v>0</x:v>
      </x:c>
    </x:row>
    <x:row r="2421">
      <x:c r="A2421" t="n">
        <x:v>8445</x:v>
      </x:c>
      <x:c r="B2421" t="str">
        <x:v>2024-12</x:v>
      </x:c>
      <x:c r="C2421" t="str">
        <x:v>Salaried</x:v>
      </x:c>
      <x:c r="D2421" t="str">
        <x:v>Group A</x:v>
      </x:c>
      <x:c r="E2421" s="26" t="n">
        <x:v>34552.48</x:v>
      </x:c>
      <x:c r="F2421" t="n">
        <x:v>0</x:v>
      </x:c>
      <x:c r="G2421" s="25" t="n">
        <x:v>0.112954</x:v>
      </x:c>
      <x:c r="H2421" t="n">
        <x:f>IF(G2421&lt;$B$6,1,0)</x:f>
        <x:v>1</x:v>
      </x:c>
      <x:c r="I2421" s="26" t="n">
        <x:f>H2421*IF(F2421=0,E2421*$B$7,-E2421*$B$8)</x:f>
        <x:v>4146.2976</x:v>
      </x:c>
    </x:row>
    <x:row r="2422">
      <x:c r="A2422" t="n">
        <x:v>8546</x:v>
      </x:c>
      <x:c r="B2422" t="str">
        <x:v>2024-12</x:v>
      </x:c>
      <x:c r="C2422" t="str">
        <x:v>Salaried</x:v>
      </x:c>
      <x:c r="D2422" t="str">
        <x:v>Group A</x:v>
      </x:c>
      <x:c r="E2422" s="26" t="n">
        <x:v>7352.55</x:v>
      </x:c>
      <x:c r="F2422" t="n">
        <x:v>0</x:v>
      </x:c>
      <x:c r="G2422" s="25" t="n">
        <x:v>0.194812</x:v>
      </x:c>
      <x:c r="H2422" t="n">
        <x:f>IF(G2422&lt;$B$6,1,0)</x:f>
        <x:v>0</x:v>
      </x:c>
      <x:c r="I2422" s="26" t="n">
        <x:f>H2422*IF(F2422=0,E2422*$B$7,-E2422*$B$8)</x:f>
        <x:v>0</x:v>
      </x:c>
    </x:row>
    <x:row r="2423">
      <x:c r="A2423" t="n">
        <x:v>8557</x:v>
      </x:c>
      <x:c r="B2423" t="str">
        <x:v>2024-12</x:v>
      </x:c>
      <x:c r="C2423" t="str">
        <x:v>Salaried</x:v>
      </x:c>
      <x:c r="D2423" t="str">
        <x:v>Group B</x:v>
      </x:c>
      <x:c r="E2423" s="26" t="n">
        <x:v>16951.1</x:v>
      </x:c>
      <x:c r="F2423" t="n">
        <x:v>0</x:v>
      </x:c>
      <x:c r="G2423" s="25" t="n">
        <x:v>0.294023</x:v>
      </x:c>
      <x:c r="H2423" t="n">
        <x:f>IF(G2423&lt;$B$6,1,0)</x:f>
        <x:v>0</x:v>
      </x:c>
      <x:c r="I2423" s="26" t="n">
        <x:f>H2423*IF(F2423=0,E2423*$B$7,-E2423*$B$8)</x:f>
        <x:v>0</x:v>
      </x:c>
    </x:row>
    <x:row r="2424">
      <x:c r="A2424" t="n">
        <x:v>8571</x:v>
      </x:c>
      <x:c r="B2424" t="str">
        <x:v>2024-12</x:v>
      </x:c>
      <x:c r="C2424" t="str">
        <x:v>Salaried</x:v>
      </x:c>
      <x:c r="D2424" t="str">
        <x:v>Group A</x:v>
      </x:c>
      <x:c r="E2424" s="26" t="n">
        <x:v>17958.57</x:v>
      </x:c>
      <x:c r="F2424" t="n">
        <x:v>0</x:v>
      </x:c>
      <x:c r="G2424" s="25" t="n">
        <x:v>0.395883</x:v>
      </x:c>
      <x:c r="H2424" t="n">
        <x:f>IF(G2424&lt;$B$6,1,0)</x:f>
        <x:v>0</x:v>
      </x:c>
      <x:c r="I2424" s="26" t="n">
        <x:f>H2424*IF(F2424=0,E2424*$B$7,-E2424*$B$8)</x:f>
        <x:v>0</x:v>
      </x:c>
    </x:row>
    <x:row r="2425">
      <x:c r="A2425" t="n">
        <x:v>8580</x:v>
      </x:c>
      <x:c r="B2425" t="str">
        <x:v>2024-12</x:v>
      </x:c>
      <x:c r="C2425" t="str">
        <x:v>Salaried</x:v>
      </x:c>
      <x:c r="D2425" t="str">
        <x:v>Group B</x:v>
      </x:c>
      <x:c r="E2425" s="26" t="n">
        <x:v>9999.7</x:v>
      </x:c>
      <x:c r="F2425" t="n">
        <x:v>0</x:v>
      </x:c>
      <x:c r="G2425" s="25" t="n">
        <x:v>0.406015</x:v>
      </x:c>
      <x:c r="H2425" t="n">
        <x:f>IF(G2425&lt;$B$6,1,0)</x:f>
        <x:v>0</x:v>
      </x:c>
      <x:c r="I2425" s="26" t="n">
        <x:f>H2425*IF(F2425=0,E2425*$B$7,-E2425*$B$8)</x:f>
        <x:v>0</x:v>
      </x:c>
    </x:row>
    <x:row r="2426">
      <x:c r="A2426" t="n">
        <x:v>8581</x:v>
      </x:c>
      <x:c r="B2426" t="str">
        <x:v>2024-12</x:v>
      </x:c>
      <x:c r="C2426" t="str">
        <x:v>Salaried</x:v>
      </x:c>
      <x:c r="D2426" t="str">
        <x:v>Group B</x:v>
      </x:c>
      <x:c r="E2426" s="26" t="n">
        <x:v>10522.76</x:v>
      </x:c>
      <x:c r="F2426" t="n">
        <x:v>0</x:v>
      </x:c>
      <x:c r="G2426" s="25" t="n">
        <x:v>0.136527</x:v>
      </x:c>
      <x:c r="H2426" t="n">
        <x:f>IF(G2426&lt;$B$6,1,0)</x:f>
        <x:v>1</x:v>
      </x:c>
      <x:c r="I2426" s="26" t="n">
        <x:f>H2426*IF(F2426=0,E2426*$B$7,-E2426*$B$8)</x:f>
        <x:v>1262.7312</x:v>
      </x:c>
    </x:row>
    <x:row r="2427">
      <x:c r="A2427" t="n">
        <x:v>8587</x:v>
      </x:c>
      <x:c r="B2427" t="str">
        <x:v>2024-12</x:v>
      </x:c>
      <x:c r="C2427" t="str">
        <x:v>Self employed</x:v>
      </x:c>
      <x:c r="D2427" t="str">
        <x:v>Group B</x:v>
      </x:c>
      <x:c r="E2427" s="26" t="n">
        <x:v>70648.05</x:v>
      </x:c>
      <x:c r="F2427" t="n">
        <x:v>1</x:v>
      </x:c>
      <x:c r="G2427" s="25" t="n">
        <x:v>0.323127</x:v>
      </x:c>
      <x:c r="H2427" t="n">
        <x:f>IF(G2427&lt;$B$6,1,0)</x:f>
        <x:v>0</x:v>
      </x:c>
      <x:c r="I2427" s="26" t="n">
        <x:f>H2427*IF(F2427=0,E2427*$B$7,-E2427*$B$8)</x:f>
        <x:v>0</x:v>
      </x:c>
    </x:row>
    <x:row r="2428">
      <x:c r="A2428" t="n">
        <x:v>8597</x:v>
      </x:c>
      <x:c r="B2428" t="str">
        <x:v>2024-12</x:v>
      </x:c>
      <x:c r="C2428" t="str">
        <x:v>Salaried</x:v>
      </x:c>
      <x:c r="D2428" t="str">
        <x:v>Group B</x:v>
      </x:c>
      <x:c r="E2428" s="26" t="n">
        <x:v>15184.18</x:v>
      </x:c>
      <x:c r="F2428" t="n">
        <x:v>0</x:v>
      </x:c>
      <x:c r="G2428" s="25" t="n">
        <x:v>0.106979</x:v>
      </x:c>
      <x:c r="H2428" t="n">
        <x:f>IF(G2428&lt;$B$6,1,0)</x:f>
        <x:v>1</x:v>
      </x:c>
      <x:c r="I2428" s="26" t="n">
        <x:f>H2428*IF(F2428=0,E2428*$B$7,-E2428*$B$8)</x:f>
        <x:v>1822.1016</x:v>
      </x:c>
    </x:row>
    <x:row r="2429">
      <x:c r="A2429" t="n">
        <x:v>8600</x:v>
      </x:c>
      <x:c r="B2429" t="str">
        <x:v>2024-12</x:v>
      </x:c>
      <x:c r="C2429" t="str">
        <x:v>Salaried</x:v>
      </x:c>
      <x:c r="D2429" t="str">
        <x:v>Group A</x:v>
      </x:c>
      <x:c r="E2429" s="26" t="n">
        <x:v>4355.84</x:v>
      </x:c>
      <x:c r="F2429" t="n">
        <x:v>0</x:v>
      </x:c>
      <x:c r="G2429" s="25" t="n">
        <x:v>0.194983</x:v>
      </x:c>
      <x:c r="H2429" t="n">
        <x:f>IF(G2429&lt;$B$6,1,0)</x:f>
        <x:v>0</x:v>
      </x:c>
      <x:c r="I2429" s="26" t="n">
        <x:f>H2429*IF(F2429=0,E2429*$B$7,-E2429*$B$8)</x:f>
        <x:v>0</x:v>
      </x:c>
    </x:row>
    <x:row r="2430">
      <x:c r="A2430" t="n">
        <x:v>8613</x:v>
      </x:c>
      <x:c r="B2430" t="str">
        <x:v>2024-12</x:v>
      </x:c>
      <x:c r="C2430" t="str">
        <x:v>Salaried</x:v>
      </x:c>
      <x:c r="D2430" t="str">
        <x:v>Group A</x:v>
      </x:c>
      <x:c r="E2430" s="26" t="n">
        <x:v>23898.15</x:v>
      </x:c>
      <x:c r="F2430" t="n">
        <x:v>0</x:v>
      </x:c>
      <x:c r="G2430" s="25" t="n">
        <x:v>0.332429</x:v>
      </x:c>
      <x:c r="H2430" t="n">
        <x:f>IF(G2430&lt;$B$6,1,0)</x:f>
        <x:v>0</x:v>
      </x:c>
      <x:c r="I2430" s="26" t="n">
        <x:f>H2430*IF(F2430=0,E2430*$B$7,-E2430*$B$8)</x:f>
        <x:v>0</x:v>
      </x:c>
    </x:row>
    <x:row r="2431">
      <x:c r="A2431" t="n">
        <x:v>8623</x:v>
      </x:c>
      <x:c r="B2431" t="str">
        <x:v>2024-12</x:v>
      </x:c>
      <x:c r="C2431" t="str">
        <x:v>Salaried</x:v>
      </x:c>
      <x:c r="D2431" t="str">
        <x:v>Group B</x:v>
      </x:c>
      <x:c r="E2431" s="26" t="n">
        <x:v>38001.56</x:v>
      </x:c>
      <x:c r="F2431" t="n">
        <x:v>0</x:v>
      </x:c>
      <x:c r="G2431" s="25" t="n">
        <x:v>0.451257</x:v>
      </x:c>
      <x:c r="H2431" t="n">
        <x:f>IF(G2431&lt;$B$6,1,0)</x:f>
        <x:v>0</x:v>
      </x:c>
      <x:c r="I2431" s="26" t="n">
        <x:f>H2431*IF(F2431=0,E2431*$B$7,-E2431*$B$8)</x:f>
        <x:v>0</x:v>
      </x:c>
    </x:row>
    <x:row r="2432">
      <x:c r="A2432" t="n">
        <x:v>8624</x:v>
      </x:c>
      <x:c r="B2432" t="str">
        <x:v>2024-12</x:v>
      </x:c>
      <x:c r="C2432" t="str">
        <x:v>Contract</x:v>
      </x:c>
      <x:c r="D2432" t="str">
        <x:v>Group A</x:v>
      </x:c>
      <x:c r="E2432" s="26" t="n">
        <x:v>58490.33</x:v>
      </x:c>
      <x:c r="F2432" t="n">
        <x:v>0</x:v>
      </x:c>
      <x:c r="G2432" s="25" t="n">
        <x:v>0.424405</x:v>
      </x:c>
      <x:c r="H2432" t="n">
        <x:f>IF(G2432&lt;$B$6,1,0)</x:f>
        <x:v>0</x:v>
      </x:c>
      <x:c r="I2432" s="26" t="n">
        <x:f>H2432*IF(F2432=0,E2432*$B$7,-E2432*$B$8)</x:f>
        <x:v>0</x:v>
      </x:c>
    </x:row>
    <x:row r="2433">
      <x:c r="A2433" t="n">
        <x:v>8625</x:v>
      </x:c>
      <x:c r="B2433" t="str">
        <x:v>2024-12</x:v>
      </x:c>
      <x:c r="C2433" t="str">
        <x:v>Contract</x:v>
      </x:c>
      <x:c r="D2433" t="str">
        <x:v>Group B</x:v>
      </x:c>
      <x:c r="E2433" s="26" t="n">
        <x:v>15740.6</x:v>
      </x:c>
      <x:c r="F2433" t="n">
        <x:v>1</x:v>
      </x:c>
      <x:c r="G2433" s="25" t="n">
        <x:v>0.244409</x:v>
      </x:c>
      <x:c r="H2433" t="n">
        <x:f>IF(G2433&lt;$B$6,1,0)</x:f>
        <x:v>0</x:v>
      </x:c>
      <x:c r="I2433" s="26" t="n">
        <x:f>H2433*IF(F2433=0,E2433*$B$7,-E2433*$B$8)</x:f>
        <x:v>0</x:v>
      </x:c>
    </x:row>
    <x:row r="2434">
      <x:c r="A2434" t="n">
        <x:v>8661</x:v>
      </x:c>
      <x:c r="B2434" t="str">
        <x:v>2024-12</x:v>
      </x:c>
      <x:c r="C2434" t="str">
        <x:v>Self employed</x:v>
      </x:c>
      <x:c r="D2434" t="str">
        <x:v>Group B</x:v>
      </x:c>
      <x:c r="E2434" s="26" t="n">
        <x:v>8016.08</x:v>
      </x:c>
      <x:c r="F2434" t="n">
        <x:v>0</x:v>
      </x:c>
      <x:c r="G2434" s="25" t="n">
        <x:v>0.047994</x:v>
      </x:c>
      <x:c r="H2434" t="n">
        <x:f>IF(G2434&lt;$B$6,1,0)</x:f>
        <x:v>1</x:v>
      </x:c>
      <x:c r="I2434" s="26" t="n">
        <x:f>H2434*IF(F2434=0,E2434*$B$7,-E2434*$B$8)</x:f>
        <x:v>961.9295999999999</x:v>
      </x:c>
    </x:row>
    <x:row r="2435">
      <x:c r="A2435" t="n">
        <x:v>8680</x:v>
      </x:c>
      <x:c r="B2435" t="str">
        <x:v>2024-12</x:v>
      </x:c>
      <x:c r="C2435" t="str">
        <x:v>Salaried</x:v>
      </x:c>
      <x:c r="D2435" t="str">
        <x:v>Group A</x:v>
      </x:c>
      <x:c r="E2435" s="26" t="n">
        <x:v>19487.86</x:v>
      </x:c>
      <x:c r="F2435" t="n">
        <x:v>1</x:v>
      </x:c>
      <x:c r="G2435" s="25" t="n">
        <x:v>0.666966</x:v>
      </x:c>
      <x:c r="H2435" t="n">
        <x:f>IF(G2435&lt;$B$6,1,0)</x:f>
        <x:v>0</x:v>
      </x:c>
      <x:c r="I2435" s="26" t="n">
        <x:f>H2435*IF(F2435=0,E2435*$B$7,-E2435*$B$8)</x:f>
        <x:v>0</x:v>
      </x:c>
    </x:row>
    <x:row r="2436">
      <x:c r="A2436" t="n">
        <x:v>8689</x:v>
      </x:c>
      <x:c r="B2436" t="str">
        <x:v>2024-12</x:v>
      </x:c>
      <x:c r="C2436" t="str">
        <x:v>Salaried</x:v>
      </x:c>
      <x:c r="D2436" t="str">
        <x:v>Group B</x:v>
      </x:c>
      <x:c r="E2436" s="26" t="n">
        <x:v>3952.47</x:v>
      </x:c>
      <x:c r="F2436" t="n">
        <x:v>0</x:v>
      </x:c>
      <x:c r="G2436" s="25" t="n">
        <x:v>0.07266</x:v>
      </x:c>
      <x:c r="H2436" t="n">
        <x:f>IF(G2436&lt;$B$6,1,0)</x:f>
        <x:v>1</x:v>
      </x:c>
      <x:c r="I2436" s="26" t="n">
        <x:f>H2436*IF(F2436=0,E2436*$B$7,-E2436*$B$8)</x:f>
        <x:v>474.29639999999995</x:v>
      </x:c>
    </x:row>
    <x:row r="2437">
      <x:c r="A2437" t="n">
        <x:v>8733</x:v>
      </x:c>
      <x:c r="B2437" t="str">
        <x:v>2024-12</x:v>
      </x:c>
      <x:c r="C2437" t="str">
        <x:v>Self employed</x:v>
      </x:c>
      <x:c r="D2437" t="str">
        <x:v>Group B</x:v>
      </x:c>
      <x:c r="E2437" s="26" t="n">
        <x:v>34880.1</x:v>
      </x:c>
      <x:c r="F2437" t="n">
        <x:v>1</x:v>
      </x:c>
      <x:c r="G2437" s="25" t="n">
        <x:v>0.273322</x:v>
      </x:c>
      <x:c r="H2437" t="n">
        <x:f>IF(G2437&lt;$B$6,1,0)</x:f>
        <x:v>0</x:v>
      </x:c>
      <x:c r="I2437" s="26" t="n">
        <x:f>H2437*IF(F2437=0,E2437*$B$7,-E2437*$B$8)</x:f>
        <x:v>0</x:v>
      </x:c>
    </x:row>
    <x:row r="2438">
      <x:c r="A2438" t="n">
        <x:v>8741</x:v>
      </x:c>
      <x:c r="B2438" t="str">
        <x:v>2024-12</x:v>
      </x:c>
      <x:c r="C2438" t="str">
        <x:v>Salaried</x:v>
      </x:c>
      <x:c r="D2438" t="str">
        <x:v>Group B</x:v>
      </x:c>
      <x:c r="E2438" s="26" t="n">
        <x:v>8431.12</x:v>
      </x:c>
      <x:c r="F2438" t="n">
        <x:v>0</x:v>
      </x:c>
      <x:c r="G2438" s="25" t="n">
        <x:v>0.335148</x:v>
      </x:c>
      <x:c r="H2438" t="n">
        <x:f>IF(G2438&lt;$B$6,1,0)</x:f>
        <x:v>0</x:v>
      </x:c>
      <x:c r="I2438" s="26" t="n">
        <x:f>H2438*IF(F2438=0,E2438*$B$7,-E2438*$B$8)</x:f>
        <x:v>0</x:v>
      </x:c>
    </x:row>
    <x:row r="2439">
      <x:c r="A2439" t="n">
        <x:v>8761</x:v>
      </x:c>
      <x:c r="B2439" t="str">
        <x:v>2024-12</x:v>
      </x:c>
      <x:c r="C2439" t="str">
        <x:v>Self employed</x:v>
      </x:c>
      <x:c r="D2439" t="str">
        <x:v>Group A</x:v>
      </x:c>
      <x:c r="E2439" s="26" t="n">
        <x:v>34174.52</x:v>
      </x:c>
      <x:c r="F2439" t="n">
        <x:v>0</x:v>
      </x:c>
      <x:c r="G2439" s="25" t="n">
        <x:v>0.373147</x:v>
      </x:c>
      <x:c r="H2439" t="n">
        <x:f>IF(G2439&lt;$B$6,1,0)</x:f>
        <x:v>0</x:v>
      </x:c>
      <x:c r="I2439" s="26" t="n">
        <x:f>H2439*IF(F2439=0,E2439*$B$7,-E2439*$B$8)</x:f>
        <x:v>0</x:v>
      </x:c>
    </x:row>
    <x:row r="2440">
      <x:c r="A2440" t="n">
        <x:v>8774</x:v>
      </x:c>
      <x:c r="B2440" t="str">
        <x:v>2024-12</x:v>
      </x:c>
      <x:c r="C2440" t="str">
        <x:v>Contract</x:v>
      </x:c>
      <x:c r="D2440" t="str">
        <x:v>Group A</x:v>
      </x:c>
      <x:c r="E2440" s="26" t="n">
        <x:v>3710.89</x:v>
      </x:c>
      <x:c r="F2440" t="n">
        <x:v>1</x:v>
      </x:c>
      <x:c r="G2440" s="25" t="n">
        <x:v>0.557591</x:v>
      </x:c>
      <x:c r="H2440" t="n">
        <x:f>IF(G2440&lt;$B$6,1,0)</x:f>
        <x:v>0</x:v>
      </x:c>
      <x:c r="I2440" s="26" t="n">
        <x:f>H2440*IF(F2440=0,E2440*$B$7,-E2440*$B$8)</x:f>
        <x:v>0</x:v>
      </x:c>
    </x:row>
    <x:row r="2441">
      <x:c r="A2441" t="n">
        <x:v>8821</x:v>
      </x:c>
      <x:c r="B2441" t="str">
        <x:v>2024-12</x:v>
      </x:c>
      <x:c r="C2441" t="str">
        <x:v>Self employed</x:v>
      </x:c>
      <x:c r="D2441" t="str">
        <x:v>Group B</x:v>
      </x:c>
      <x:c r="E2441" s="26" t="n">
        <x:v>10806.02</x:v>
      </x:c>
      <x:c r="F2441" t="n">
        <x:v>0</x:v>
      </x:c>
      <x:c r="G2441" s="25" t="n">
        <x:v>0.025433</x:v>
      </x:c>
      <x:c r="H2441" t="n">
        <x:f>IF(G2441&lt;$B$6,1,0)</x:f>
        <x:v>1</x:v>
      </x:c>
      <x:c r="I2441" s="26" t="n">
        <x:f>H2441*IF(F2441=0,E2441*$B$7,-E2441*$B$8)</x:f>
        <x:v>1296.7224</x:v>
      </x:c>
    </x:row>
    <x:row r="2442">
      <x:c r="A2442" t="n">
        <x:v>8858</x:v>
      </x:c>
      <x:c r="B2442" t="str">
        <x:v>2024-12</x:v>
      </x:c>
      <x:c r="C2442" t="str">
        <x:v>Salaried</x:v>
      </x:c>
      <x:c r="D2442" t="str">
        <x:v>Group A</x:v>
      </x:c>
      <x:c r="E2442" s="26" t="n">
        <x:v>25478</x:v>
      </x:c>
      <x:c r="F2442" t="n">
        <x:v>0</x:v>
      </x:c>
      <x:c r="G2442" s="25" t="n">
        <x:v>0.214318</x:v>
      </x:c>
      <x:c r="H2442" t="n">
        <x:f>IF(G2442&lt;$B$6,1,0)</x:f>
        <x:v>0</x:v>
      </x:c>
      <x:c r="I2442" s="26" t="n">
        <x:f>H2442*IF(F2442=0,E2442*$B$7,-E2442*$B$8)</x:f>
        <x:v>0</x:v>
      </x:c>
    </x:row>
    <x:row r="2443">
      <x:c r="A2443" t="n">
        <x:v>8861</x:v>
      </x:c>
      <x:c r="B2443" t="str">
        <x:v>2024-12</x:v>
      </x:c>
      <x:c r="C2443" t="str">
        <x:v>Contract</x:v>
      </x:c>
      <x:c r="D2443" t="str">
        <x:v>Group B</x:v>
      </x:c>
      <x:c r="E2443" s="26" t="n">
        <x:v>14891.55</x:v>
      </x:c>
      <x:c r="F2443" t="n">
        <x:v>0</x:v>
      </x:c>
      <x:c r="G2443" s="25" t="n">
        <x:v>0.138274</x:v>
      </x:c>
      <x:c r="H2443" t="n">
        <x:f>IF(G2443&lt;$B$6,1,0)</x:f>
        <x:v>1</x:v>
      </x:c>
      <x:c r="I2443" s="26" t="n">
        <x:f>H2443*IF(F2443=0,E2443*$B$7,-E2443*$B$8)</x:f>
        <x:v>1786.9859999999999</x:v>
      </x:c>
    </x:row>
    <x:row r="2444">
      <x:c r="A2444" t="n">
        <x:v>8892</x:v>
      </x:c>
      <x:c r="B2444" t="str">
        <x:v>2024-12</x:v>
      </x:c>
      <x:c r="C2444" t="str">
        <x:v>Salaried</x:v>
      </x:c>
      <x:c r="D2444" t="str">
        <x:v>Group B</x:v>
      </x:c>
      <x:c r="E2444" s="26" t="n">
        <x:v>13157.95</x:v>
      </x:c>
      <x:c r="F2444" t="n">
        <x:v>0</x:v>
      </x:c>
      <x:c r="G2444" s="25" t="n">
        <x:v>0.060681</x:v>
      </x:c>
      <x:c r="H2444" t="n">
        <x:f>IF(G2444&lt;$B$6,1,0)</x:f>
        <x:v>1</x:v>
      </x:c>
      <x:c r="I2444" s="26" t="n">
        <x:f>H2444*IF(F2444=0,E2444*$B$7,-E2444*$B$8)</x:f>
        <x:v>1578.954</x:v>
      </x:c>
    </x:row>
    <x:row r="2445">
      <x:c r="A2445" t="n">
        <x:v>8913</x:v>
      </x:c>
      <x:c r="B2445" t="str">
        <x:v>2024-12</x:v>
      </x:c>
      <x:c r="C2445" t="str">
        <x:v>Self employed</x:v>
      </x:c>
      <x:c r="D2445" t="str">
        <x:v>Group A</x:v>
      </x:c>
      <x:c r="E2445" s="26" t="n">
        <x:v>28289.52</x:v>
      </x:c>
      <x:c r="F2445" t="n">
        <x:v>0</x:v>
      </x:c>
      <x:c r="G2445" s="25" t="n">
        <x:v>0.195652</x:v>
      </x:c>
      <x:c r="H2445" t="n">
        <x:f>IF(G2445&lt;$B$6,1,0)</x:f>
        <x:v>0</x:v>
      </x:c>
      <x:c r="I2445" s="26" t="n">
        <x:f>H2445*IF(F2445=0,E2445*$B$7,-E2445*$B$8)</x:f>
        <x:v>0</x:v>
      </x:c>
    </x:row>
    <x:row r="2446">
      <x:c r="A2446" t="n">
        <x:v>8916</x:v>
      </x:c>
      <x:c r="B2446" t="str">
        <x:v>2024-12</x:v>
      </x:c>
      <x:c r="C2446" t="str">
        <x:v>Contract</x:v>
      </x:c>
      <x:c r="D2446" t="str">
        <x:v>Group B</x:v>
      </x:c>
      <x:c r="E2446" s="26" t="n">
        <x:v>11418.29</x:v>
      </x:c>
      <x:c r="F2446" t="n">
        <x:v>0</x:v>
      </x:c>
      <x:c r="G2446" s="25" t="n">
        <x:v>0.149332</x:v>
      </x:c>
      <x:c r="H2446" t="n">
        <x:f>IF(G2446&lt;$B$6,1,0)</x:f>
        <x:v>1</x:v>
      </x:c>
      <x:c r="I2446" s="26" t="n">
        <x:f>H2446*IF(F2446=0,E2446*$B$7,-E2446*$B$8)</x:f>
        <x:v>1370.1948</x:v>
      </x:c>
    </x:row>
    <x:row r="2447">
      <x:c r="A2447" t="n">
        <x:v>9012</x:v>
      </x:c>
      <x:c r="B2447" t="str">
        <x:v>2024-12</x:v>
      </x:c>
      <x:c r="C2447" t="str">
        <x:v>Salaried</x:v>
      </x:c>
      <x:c r="D2447" t="str">
        <x:v>Group A</x:v>
      </x:c>
      <x:c r="E2447" s="26" t="n">
        <x:v>17977.91</x:v>
      </x:c>
      <x:c r="F2447" t="n">
        <x:v>0</x:v>
      </x:c>
      <x:c r="G2447" s="25" t="n">
        <x:v>0.339805</x:v>
      </x:c>
      <x:c r="H2447" t="n">
        <x:f>IF(G2447&lt;$B$6,1,0)</x:f>
        <x:v>0</x:v>
      </x:c>
      <x:c r="I2447" s="26" t="n">
        <x:f>H2447*IF(F2447=0,E2447*$B$7,-E2447*$B$8)</x:f>
        <x:v>0</x:v>
      </x:c>
    </x:row>
    <x:row r="2448">
      <x:c r="A2448" t="n">
        <x:v>9057</x:v>
      </x:c>
      <x:c r="B2448" t="str">
        <x:v>2024-12</x:v>
      </x:c>
      <x:c r="C2448" t="str">
        <x:v>Salaried</x:v>
      </x:c>
      <x:c r="D2448" t="str">
        <x:v>Group B</x:v>
      </x:c>
      <x:c r="E2448" s="26" t="n">
        <x:v>13784.81</x:v>
      </x:c>
      <x:c r="F2448" t="n">
        <x:v>0</x:v>
      </x:c>
      <x:c r="G2448" s="25" t="n">
        <x:v>0.123038</x:v>
      </x:c>
      <x:c r="H2448" t="n">
        <x:f>IF(G2448&lt;$B$6,1,0)</x:f>
        <x:v>1</x:v>
      </x:c>
      <x:c r="I2448" s="26" t="n">
        <x:f>H2448*IF(F2448=0,E2448*$B$7,-E2448*$B$8)</x:f>
        <x:v>1654.1771999999999</x:v>
      </x:c>
    </x:row>
    <x:row r="2449">
      <x:c r="A2449" t="n">
        <x:v>9068</x:v>
      </x:c>
      <x:c r="B2449" t="str">
        <x:v>2024-12</x:v>
      </x:c>
      <x:c r="C2449" t="str">
        <x:v>Salaried</x:v>
      </x:c>
      <x:c r="D2449" t="str">
        <x:v>Group B</x:v>
      </x:c>
      <x:c r="E2449" s="26" t="n">
        <x:v>33510.03</x:v>
      </x:c>
      <x:c r="F2449" t="n">
        <x:v>0</x:v>
      </x:c>
      <x:c r="G2449" s="25" t="n">
        <x:v>0.029218</x:v>
      </x:c>
      <x:c r="H2449" t="n">
        <x:f>IF(G2449&lt;$B$6,1,0)</x:f>
        <x:v>1</x:v>
      </x:c>
      <x:c r="I2449" s="26" t="n">
        <x:f>H2449*IF(F2449=0,E2449*$B$7,-E2449*$B$8)</x:f>
        <x:v>4021.2036</x:v>
      </x:c>
    </x:row>
    <x:row r="2450">
      <x:c r="A2450" t="n">
        <x:v>9071</x:v>
      </x:c>
      <x:c r="B2450" t="str">
        <x:v>2024-12</x:v>
      </x:c>
      <x:c r="C2450" t="str">
        <x:v>Salaried</x:v>
      </x:c>
      <x:c r="D2450" t="str">
        <x:v>Group B</x:v>
      </x:c>
      <x:c r="E2450" s="26" t="n">
        <x:v>6781.08</x:v>
      </x:c>
      <x:c r="F2450" t="n">
        <x:v>0</x:v>
      </x:c>
      <x:c r="G2450" s="25" t="n">
        <x:v>0.126644</x:v>
      </x:c>
      <x:c r="H2450" t="n">
        <x:f>IF(G2450&lt;$B$6,1,0)</x:f>
        <x:v>1</x:v>
      </x:c>
      <x:c r="I2450" s="26" t="n">
        <x:f>H2450*IF(F2450=0,E2450*$B$7,-E2450*$B$8)</x:f>
        <x:v>813.7296</x:v>
      </x:c>
    </x:row>
    <x:row r="2451">
      <x:c r="A2451" t="n">
        <x:v>9079</x:v>
      </x:c>
      <x:c r="B2451" t="str">
        <x:v>2024-12</x:v>
      </x:c>
      <x:c r="C2451" t="str">
        <x:v>Self employed</x:v>
      </x:c>
      <x:c r="D2451" t="str">
        <x:v>Group A</x:v>
      </x:c>
      <x:c r="E2451" s="26" t="n">
        <x:v>9238.7</x:v>
      </x:c>
      <x:c r="F2451" t="n">
        <x:v>0</x:v>
      </x:c>
      <x:c r="G2451" s="25" t="n">
        <x:v>0.073572</x:v>
      </x:c>
      <x:c r="H2451" t="n">
        <x:f>IF(G2451&lt;$B$6,1,0)</x:f>
        <x:v>1</x:v>
      </x:c>
      <x:c r="I2451" s="26" t="n">
        <x:f>H2451*IF(F2451=0,E2451*$B$7,-E2451*$B$8)</x:f>
        <x:v>1108.644</x:v>
      </x:c>
    </x:row>
    <x:row r="2452">
      <x:c r="A2452" t="n">
        <x:v>9117</x:v>
      </x:c>
      <x:c r="B2452" t="str">
        <x:v>2024-12</x:v>
      </x:c>
      <x:c r="C2452" t="str">
        <x:v>Salaried</x:v>
      </x:c>
      <x:c r="D2452" t="str">
        <x:v>Group B</x:v>
      </x:c>
      <x:c r="E2452" s="26" t="n">
        <x:v>12488.3</x:v>
      </x:c>
      <x:c r="F2452" t="n">
        <x:v>0</x:v>
      </x:c>
      <x:c r="G2452" s="25" t="n">
        <x:v>0.131918</x:v>
      </x:c>
      <x:c r="H2452" t="n">
        <x:f>IF(G2452&lt;$B$6,1,0)</x:f>
        <x:v>1</x:v>
      </x:c>
      <x:c r="I2452" s="26" t="n">
        <x:f>H2452*IF(F2452=0,E2452*$B$7,-E2452*$B$8)</x:f>
        <x:v>1498.5959999999998</x:v>
      </x:c>
    </x:row>
    <x:row r="2453">
      <x:c r="A2453" t="n">
        <x:v>9182</x:v>
      </x:c>
      <x:c r="B2453" t="str">
        <x:v>2024-12</x:v>
      </x:c>
      <x:c r="C2453" t="str">
        <x:v>Self employed</x:v>
      </x:c>
      <x:c r="D2453" t="str">
        <x:v>Group B</x:v>
      </x:c>
      <x:c r="E2453" s="26" t="n">
        <x:v>64176.91</x:v>
      </x:c>
      <x:c r="F2453" t="n">
        <x:v>0</x:v>
      </x:c>
      <x:c r="G2453" s="25" t="n">
        <x:v>0.21624</x:v>
      </x:c>
      <x:c r="H2453" t="n">
        <x:f>IF(G2453&lt;$B$6,1,0)</x:f>
        <x:v>0</x:v>
      </x:c>
      <x:c r="I2453" s="26" t="n">
        <x:f>H2453*IF(F2453=0,E2453*$B$7,-E2453*$B$8)</x:f>
        <x:v>0</x:v>
      </x:c>
    </x:row>
    <x:row r="2454">
      <x:c r="A2454" t="n">
        <x:v>9212</x:v>
      </x:c>
      <x:c r="B2454" t="str">
        <x:v>2024-12</x:v>
      </x:c>
      <x:c r="C2454" t="str">
        <x:v>Self employed</x:v>
      </x:c>
      <x:c r="D2454" t="str">
        <x:v>Group B</x:v>
      </x:c>
      <x:c r="E2454" s="26" t="n">
        <x:v>38234.84</x:v>
      </x:c>
      <x:c r="F2454" t="n">
        <x:v>1</x:v>
      </x:c>
      <x:c r="G2454" s="25" t="n">
        <x:v>0.575333</x:v>
      </x:c>
      <x:c r="H2454" t="n">
        <x:f>IF(G2454&lt;$B$6,1,0)</x:f>
        <x:v>0</x:v>
      </x:c>
      <x:c r="I2454" s="26" t="n">
        <x:f>H2454*IF(F2454=0,E2454*$B$7,-E2454*$B$8)</x:f>
        <x:v>0</x:v>
      </x:c>
    </x:row>
    <x:row r="2455">
      <x:c r="A2455" t="n">
        <x:v>9222</x:v>
      </x:c>
      <x:c r="B2455" t="str">
        <x:v>2024-12</x:v>
      </x:c>
      <x:c r="C2455" t="str">
        <x:v>Self employed</x:v>
      </x:c>
      <x:c r="D2455" t="str">
        <x:v>Group A</x:v>
      </x:c>
      <x:c r="E2455" s="26" t="n">
        <x:v>16848</x:v>
      </x:c>
      <x:c r="F2455" t="n">
        <x:v>0</x:v>
      </x:c>
      <x:c r="G2455" s="25" t="n">
        <x:v>0.06718</x:v>
      </x:c>
      <x:c r="H2455" t="n">
        <x:f>IF(G2455&lt;$B$6,1,0)</x:f>
        <x:v>1</x:v>
      </x:c>
      <x:c r="I2455" s="26" t="n">
        <x:f>H2455*IF(F2455=0,E2455*$B$7,-E2455*$B$8)</x:f>
        <x:v>2021.76</x:v>
      </x:c>
    </x:row>
    <x:row r="2456">
      <x:c r="A2456" t="n">
        <x:v>9266</x:v>
      </x:c>
      <x:c r="B2456" t="str">
        <x:v>2024-12</x:v>
      </x:c>
      <x:c r="C2456" t="str">
        <x:v>Self employed</x:v>
      </x:c>
      <x:c r="D2456" t="str">
        <x:v>Group B</x:v>
      </x:c>
      <x:c r="E2456" s="26" t="n">
        <x:v>14312.12</x:v>
      </x:c>
      <x:c r="F2456" t="n">
        <x:v>0</x:v>
      </x:c>
      <x:c r="G2456" s="25" t="n">
        <x:v>0.152069</x:v>
      </x:c>
      <x:c r="H2456" t="n">
        <x:f>IF(G2456&lt;$B$6,1,0)</x:f>
        <x:v>1</x:v>
      </x:c>
      <x:c r="I2456" s="26" t="n">
        <x:f>H2456*IF(F2456=0,E2456*$B$7,-E2456*$B$8)</x:f>
        <x:v>1717.4544</x:v>
      </x:c>
    </x:row>
    <x:row r="2457">
      <x:c r="A2457" t="n">
        <x:v>9280</x:v>
      </x:c>
      <x:c r="B2457" t="str">
        <x:v>2024-12</x:v>
      </x:c>
      <x:c r="C2457" t="str">
        <x:v>Salaried</x:v>
      </x:c>
      <x:c r="D2457" t="str">
        <x:v>Group B</x:v>
      </x:c>
      <x:c r="E2457" s="26" t="n">
        <x:v>12931.91</x:v>
      </x:c>
      <x:c r="F2457" t="n">
        <x:v>0</x:v>
      </x:c>
      <x:c r="G2457" s="25" t="n">
        <x:v>0.447604</x:v>
      </x:c>
      <x:c r="H2457" t="n">
        <x:f>IF(G2457&lt;$B$6,1,0)</x:f>
        <x:v>0</x:v>
      </x:c>
      <x:c r="I2457" s="26" t="n">
        <x:f>H2457*IF(F2457=0,E2457*$B$7,-E2457*$B$8)</x:f>
        <x:v>0</x:v>
      </x:c>
    </x:row>
    <x:row r="2458">
      <x:c r="A2458" t="n">
        <x:v>9327</x:v>
      </x:c>
      <x:c r="B2458" t="str">
        <x:v>2024-12</x:v>
      </x:c>
      <x:c r="C2458" t="str">
        <x:v>Salaried</x:v>
      </x:c>
      <x:c r="D2458" t="str">
        <x:v>Group B</x:v>
      </x:c>
      <x:c r="E2458" s="26" t="n">
        <x:v>18435.66</x:v>
      </x:c>
      <x:c r="F2458" t="n">
        <x:v>1</x:v>
      </x:c>
      <x:c r="G2458" s="25" t="n">
        <x:v>0.085388</x:v>
      </x:c>
      <x:c r="H2458" t="n">
        <x:f>IF(G2458&lt;$B$6,1,0)</x:f>
        <x:v>1</x:v>
      </x:c>
      <x:c r="I2458" s="26" t="n">
        <x:f>H2458*IF(F2458=0,E2458*$B$7,-E2458*$B$8)</x:f>
        <x:v>-11983.179</x:v>
      </x:c>
    </x:row>
    <x:row r="2459">
      <x:c r="A2459" t="n">
        <x:v>9356</x:v>
      </x:c>
      <x:c r="B2459" t="str">
        <x:v>2024-12</x:v>
      </x:c>
      <x:c r="C2459" t="str">
        <x:v>Salaried</x:v>
      </x:c>
      <x:c r="D2459" t="str">
        <x:v>Group A</x:v>
      </x:c>
      <x:c r="E2459" s="26" t="n">
        <x:v>6469.65</x:v>
      </x:c>
      <x:c r="F2459" t="n">
        <x:v>0</x:v>
      </x:c>
      <x:c r="G2459" s="25" t="n">
        <x:v>0.110842</x:v>
      </x:c>
      <x:c r="H2459" t="n">
        <x:f>IF(G2459&lt;$B$6,1,0)</x:f>
        <x:v>1</x:v>
      </x:c>
      <x:c r="I2459" s="26" t="n">
        <x:f>H2459*IF(F2459=0,E2459*$B$7,-E2459*$B$8)</x:f>
        <x:v>776.358</x:v>
      </x:c>
    </x:row>
    <x:row r="2460">
      <x:c r="A2460" t="n">
        <x:v>9358</x:v>
      </x:c>
      <x:c r="B2460" t="str">
        <x:v>2024-12</x:v>
      </x:c>
      <x:c r="C2460" t="str">
        <x:v>Salaried</x:v>
      </x:c>
      <x:c r="D2460" t="str">
        <x:v>Group A</x:v>
      </x:c>
      <x:c r="E2460" s="26" t="n">
        <x:v>17938.72</x:v>
      </x:c>
      <x:c r="F2460" t="n">
        <x:v>0</x:v>
      </x:c>
      <x:c r="G2460" s="25" t="n">
        <x:v>0.064079</x:v>
      </x:c>
      <x:c r="H2460" t="n">
        <x:f>IF(G2460&lt;$B$6,1,0)</x:f>
        <x:v>1</x:v>
      </x:c>
      <x:c r="I2460" s="26" t="n">
        <x:f>H2460*IF(F2460=0,E2460*$B$7,-E2460*$B$8)</x:f>
        <x:v>2152.6464</x:v>
      </x:c>
    </x:row>
    <x:row r="2461">
      <x:c r="A2461" t="n">
        <x:v>9366</x:v>
      </x:c>
      <x:c r="B2461" t="str">
        <x:v>2024-12</x:v>
      </x:c>
      <x:c r="C2461" t="str">
        <x:v>Salaried</x:v>
      </x:c>
      <x:c r="D2461" t="str">
        <x:v>Group A</x:v>
      </x:c>
      <x:c r="E2461" s="26" t="n">
        <x:v>23307.02</x:v>
      </x:c>
      <x:c r="F2461" t="n">
        <x:v>0</x:v>
      </x:c>
      <x:c r="G2461" s="25" t="n">
        <x:v>0.128661</x:v>
      </x:c>
      <x:c r="H2461" t="n">
        <x:f>IF(G2461&lt;$B$6,1,0)</x:f>
        <x:v>1</x:v>
      </x:c>
      <x:c r="I2461" s="26" t="n">
        <x:f>H2461*IF(F2461=0,E2461*$B$7,-E2461*$B$8)</x:f>
        <x:v>2796.8424</x:v>
      </x:c>
    </x:row>
    <x:row r="2462">
      <x:c r="A2462" t="n">
        <x:v>9426</x:v>
      </x:c>
      <x:c r="B2462" t="str">
        <x:v>2024-12</x:v>
      </x:c>
      <x:c r="C2462" t="str">
        <x:v>Contract</x:v>
      </x:c>
      <x:c r="D2462" t="str">
        <x:v>Group A</x:v>
      </x:c>
      <x:c r="E2462" s="26" t="n">
        <x:v>8166.54</x:v>
      </x:c>
      <x:c r="F2462" t="n">
        <x:v>0</x:v>
      </x:c>
      <x:c r="G2462" s="25" t="n">
        <x:v>0.213961</x:v>
      </x:c>
      <x:c r="H2462" t="n">
        <x:f>IF(G2462&lt;$B$6,1,0)</x:f>
        <x:v>0</x:v>
      </x:c>
      <x:c r="I2462" s="26" t="n">
        <x:f>H2462*IF(F2462=0,E2462*$B$7,-E2462*$B$8)</x:f>
        <x:v>0</x:v>
      </x:c>
    </x:row>
    <x:row r="2463">
      <x:c r="A2463" t="n">
        <x:v>9428</x:v>
      </x:c>
      <x:c r="B2463" t="str">
        <x:v>2024-12</x:v>
      </x:c>
      <x:c r="C2463" t="str">
        <x:v>Salaried</x:v>
      </x:c>
      <x:c r="D2463" t="str">
        <x:v>Group A</x:v>
      </x:c>
      <x:c r="E2463" s="26" t="n">
        <x:v>29437.87</x:v>
      </x:c>
      <x:c r="F2463" t="n">
        <x:v>0</x:v>
      </x:c>
      <x:c r="G2463" s="25" t="n">
        <x:v>0.237437</x:v>
      </x:c>
      <x:c r="H2463" t="n">
        <x:f>IF(G2463&lt;$B$6,1,0)</x:f>
        <x:v>0</x:v>
      </x:c>
      <x:c r="I2463" s="26" t="n">
        <x:f>H2463*IF(F2463=0,E2463*$B$7,-E2463*$B$8)</x:f>
        <x:v>0</x:v>
      </x:c>
    </x:row>
    <x:row r="2464">
      <x:c r="A2464" t="n">
        <x:v>9432</x:v>
      </x:c>
      <x:c r="B2464" t="str">
        <x:v>2024-12</x:v>
      </x:c>
      <x:c r="C2464" t="str">
        <x:v>Salaried</x:v>
      </x:c>
      <x:c r="D2464" t="str">
        <x:v>Group A</x:v>
      </x:c>
      <x:c r="E2464" s="26" t="n">
        <x:v>8047.87</x:v>
      </x:c>
      <x:c r="F2464" t="n">
        <x:v>0</x:v>
      </x:c>
      <x:c r="G2464" s="25" t="n">
        <x:v>0.10345</x:v>
      </x:c>
      <x:c r="H2464" t="n">
        <x:f>IF(G2464&lt;$B$6,1,0)</x:f>
        <x:v>1</x:v>
      </x:c>
      <x:c r="I2464" s="26" t="n">
        <x:f>H2464*IF(F2464=0,E2464*$B$7,-E2464*$B$8)</x:f>
        <x:v>965.7443999999999</x:v>
      </x:c>
    </x:row>
    <x:row r="2465">
      <x:c r="A2465" t="n">
        <x:v>9433</x:v>
      </x:c>
      <x:c r="B2465" t="str">
        <x:v>2024-12</x:v>
      </x:c>
      <x:c r="C2465" t="str">
        <x:v>Salaried</x:v>
      </x:c>
      <x:c r="D2465" t="str">
        <x:v>Group B</x:v>
      </x:c>
      <x:c r="E2465" s="26" t="n">
        <x:v>8901.8</x:v>
      </x:c>
      <x:c r="F2465" t="n">
        <x:v>0</x:v>
      </x:c>
      <x:c r="G2465" s="25" t="n">
        <x:v>0.146129</x:v>
      </x:c>
      <x:c r="H2465" t="n">
        <x:f>IF(G2465&lt;$B$6,1,0)</x:f>
        <x:v>1</x:v>
      </x:c>
      <x:c r="I2465" s="26" t="n">
        <x:f>H2465*IF(F2465=0,E2465*$B$7,-E2465*$B$8)</x:f>
        <x:v>1068.216</x:v>
      </x:c>
    </x:row>
    <x:row r="2466">
      <x:c r="A2466" t="n">
        <x:v>9439</x:v>
      </x:c>
      <x:c r="B2466" t="str">
        <x:v>2024-12</x:v>
      </x:c>
      <x:c r="C2466" t="str">
        <x:v>Salaried</x:v>
      </x:c>
      <x:c r="D2466" t="str">
        <x:v>Group A</x:v>
      </x:c>
      <x:c r="E2466" s="26" t="n">
        <x:v>6114.87</x:v>
      </x:c>
      <x:c r="F2466" t="n">
        <x:v>0</x:v>
      </x:c>
      <x:c r="G2466" s="25" t="n">
        <x:v>0.093531</x:v>
      </x:c>
      <x:c r="H2466" t="n">
        <x:f>IF(G2466&lt;$B$6,1,0)</x:f>
        <x:v>1</x:v>
      </x:c>
      <x:c r="I2466" s="26" t="n">
        <x:f>H2466*IF(F2466=0,E2466*$B$7,-E2466*$B$8)</x:f>
        <x:v>733.7844</x:v>
      </x:c>
    </x:row>
    <x:row r="2467">
      <x:c r="A2467" t="n">
        <x:v>9447</x:v>
      </x:c>
      <x:c r="B2467" t="str">
        <x:v>2024-12</x:v>
      </x:c>
      <x:c r="C2467" t="str">
        <x:v>Self employed</x:v>
      </x:c>
      <x:c r="D2467" t="str">
        <x:v>Group B</x:v>
      </x:c>
      <x:c r="E2467" s="26" t="n">
        <x:v>13266.09</x:v>
      </x:c>
      <x:c r="F2467" t="n">
        <x:v>0</x:v>
      </x:c>
      <x:c r="G2467" s="25" t="n">
        <x:v>0.091309</x:v>
      </x:c>
      <x:c r="H2467" t="n">
        <x:f>IF(G2467&lt;$B$6,1,0)</x:f>
        <x:v>1</x:v>
      </x:c>
      <x:c r="I2467" s="26" t="n">
        <x:f>H2467*IF(F2467=0,E2467*$B$7,-E2467*$B$8)</x:f>
        <x:v>1591.9307999999999</x:v>
      </x:c>
    </x:row>
    <x:row r="2468">
      <x:c r="A2468" t="n">
        <x:v>9457</x:v>
      </x:c>
      <x:c r="B2468" t="str">
        <x:v>2024-12</x:v>
      </x:c>
      <x:c r="C2468" t="str">
        <x:v>Salaried</x:v>
      </x:c>
      <x:c r="D2468" t="str">
        <x:v>Group A</x:v>
      </x:c>
      <x:c r="E2468" s="26" t="n">
        <x:v>3788.66</x:v>
      </x:c>
      <x:c r="F2468" t="n">
        <x:v>0</x:v>
      </x:c>
      <x:c r="G2468" s="25" t="n">
        <x:v>0.106562</x:v>
      </x:c>
      <x:c r="H2468" t="n">
        <x:f>IF(G2468&lt;$B$6,1,0)</x:f>
        <x:v>1</x:v>
      </x:c>
      <x:c r="I2468" s="26" t="n">
        <x:f>H2468*IF(F2468=0,E2468*$B$7,-E2468*$B$8)</x:f>
        <x:v>454.63919999999996</x:v>
      </x:c>
    </x:row>
    <x:row r="2469">
      <x:c r="A2469" t="n">
        <x:v>9527</x:v>
      </x:c>
      <x:c r="B2469" t="str">
        <x:v>2024-12</x:v>
      </x:c>
      <x:c r="C2469" t="str">
        <x:v>Self employed</x:v>
      </x:c>
      <x:c r="D2469" t="str">
        <x:v>Group B</x:v>
      </x:c>
      <x:c r="E2469" s="26" t="n">
        <x:v>22767.22</x:v>
      </x:c>
      <x:c r="F2469" t="n">
        <x:v>0</x:v>
      </x:c>
      <x:c r="G2469" s="25" t="n">
        <x:v>0.044605</x:v>
      </x:c>
      <x:c r="H2469" t="n">
        <x:f>IF(G2469&lt;$B$6,1,0)</x:f>
        <x:v>1</x:v>
      </x:c>
      <x:c r="I2469" s="26" t="n">
        <x:f>H2469*IF(F2469=0,E2469*$B$7,-E2469*$B$8)</x:f>
        <x:v>2732.0664</x:v>
      </x:c>
    </x:row>
    <x:row r="2470">
      <x:c r="A2470" t="n">
        <x:v>9528</x:v>
      </x:c>
      <x:c r="B2470" t="str">
        <x:v>2024-12</x:v>
      </x:c>
      <x:c r="C2470" t="str">
        <x:v>Self employed</x:v>
      </x:c>
      <x:c r="D2470" t="str">
        <x:v>Group A</x:v>
      </x:c>
      <x:c r="E2470" s="26" t="n">
        <x:v>13411.25</x:v>
      </x:c>
      <x:c r="F2470" t="n">
        <x:v>1</x:v>
      </x:c>
      <x:c r="G2470" s="25" t="n">
        <x:v>0.342053</x:v>
      </x:c>
      <x:c r="H2470" t="n">
        <x:f>IF(G2470&lt;$B$6,1,0)</x:f>
        <x:v>0</x:v>
      </x:c>
      <x:c r="I2470" s="26" t="n">
        <x:f>H2470*IF(F2470=0,E2470*$B$7,-E2470*$B$8)</x:f>
        <x:v>0</x:v>
      </x:c>
    </x:row>
    <x:row r="2471">
      <x:c r="A2471" t="n">
        <x:v>9536</x:v>
      </x:c>
      <x:c r="B2471" t="str">
        <x:v>2024-12</x:v>
      </x:c>
      <x:c r="C2471" t="str">
        <x:v>Salaried</x:v>
      </x:c>
      <x:c r="D2471" t="str">
        <x:v>Group A</x:v>
      </x:c>
      <x:c r="E2471" s="26" t="n">
        <x:v>7510.86</x:v>
      </x:c>
      <x:c r="F2471" t="n">
        <x:v>0</x:v>
      </x:c>
      <x:c r="G2471" s="25" t="n">
        <x:v>0.079982</x:v>
      </x:c>
      <x:c r="H2471" t="n">
        <x:f>IF(G2471&lt;$B$6,1,0)</x:f>
        <x:v>1</x:v>
      </x:c>
      <x:c r="I2471" s="26" t="n">
        <x:f>H2471*IF(F2471=0,E2471*$B$7,-E2471*$B$8)</x:f>
        <x:v>901.3032</x:v>
      </x:c>
    </x:row>
    <x:row r="2472">
      <x:c r="A2472" t="n">
        <x:v>9626</x:v>
      </x:c>
      <x:c r="B2472" t="str">
        <x:v>2024-12</x:v>
      </x:c>
      <x:c r="C2472" t="str">
        <x:v>Self employed</x:v>
      </x:c>
      <x:c r="D2472" t="str">
        <x:v>Group A</x:v>
      </x:c>
      <x:c r="E2472" s="26" t="n">
        <x:v>8077.05</x:v>
      </x:c>
      <x:c r="F2472" t="n">
        <x:v>0</x:v>
      </x:c>
      <x:c r="G2472" s="25" t="n">
        <x:v>0.092677</x:v>
      </x:c>
      <x:c r="H2472" t="n">
        <x:f>IF(G2472&lt;$B$6,1,0)</x:f>
        <x:v>1</x:v>
      </x:c>
      <x:c r="I2472" s="26" t="n">
        <x:f>H2472*IF(F2472=0,E2472*$B$7,-E2472*$B$8)</x:f>
        <x:v>969.246</x:v>
      </x:c>
    </x:row>
    <x:row r="2473">
      <x:c r="A2473" t="n">
        <x:v>9629</x:v>
      </x:c>
      <x:c r="B2473" t="str">
        <x:v>2024-12</x:v>
      </x:c>
      <x:c r="C2473" t="str">
        <x:v>Salaried</x:v>
      </x:c>
      <x:c r="D2473" t="str">
        <x:v>Group A</x:v>
      </x:c>
      <x:c r="E2473" s="26" t="n">
        <x:v>24054.15</x:v>
      </x:c>
      <x:c r="F2473" t="n">
        <x:v>0</x:v>
      </x:c>
      <x:c r="G2473" s="25" t="n">
        <x:v>0.040956</x:v>
      </x:c>
      <x:c r="H2473" t="n">
        <x:f>IF(G2473&lt;$B$6,1,0)</x:f>
        <x:v>1</x:v>
      </x:c>
      <x:c r="I2473" s="26" t="n">
        <x:f>H2473*IF(F2473=0,E2473*$B$7,-E2473*$B$8)</x:f>
        <x:v>2886.498</x:v>
      </x:c>
    </x:row>
    <x:row r="2474">
      <x:c r="A2474" t="n">
        <x:v>9662</x:v>
      </x:c>
      <x:c r="B2474" t="str">
        <x:v>2024-12</x:v>
      </x:c>
      <x:c r="C2474" t="str">
        <x:v>Self employed</x:v>
      </x:c>
      <x:c r="D2474" t="str">
        <x:v>Group B</x:v>
      </x:c>
      <x:c r="E2474" s="26" t="n">
        <x:v>12119.29</x:v>
      </x:c>
      <x:c r="F2474" t="n">
        <x:v>1</x:v>
      </x:c>
      <x:c r="G2474" s="25" t="n">
        <x:v>0.617653</x:v>
      </x:c>
      <x:c r="H2474" t="n">
        <x:f>IF(G2474&lt;$B$6,1,0)</x:f>
        <x:v>0</x:v>
      </x:c>
      <x:c r="I2474" s="26" t="n">
        <x:f>H2474*IF(F2474=0,E2474*$B$7,-E2474*$B$8)</x:f>
        <x:v>0</x:v>
      </x:c>
    </x:row>
    <x:row r="2475">
      <x:c r="A2475" t="n">
        <x:v>9719</x:v>
      </x:c>
      <x:c r="B2475" t="str">
        <x:v>2024-12</x:v>
      </x:c>
      <x:c r="C2475" t="str">
        <x:v>Self employed</x:v>
      </x:c>
      <x:c r="D2475" t="str">
        <x:v>Group B</x:v>
      </x:c>
      <x:c r="E2475" s="26" t="n">
        <x:v>21688.68</x:v>
      </x:c>
      <x:c r="F2475" t="n">
        <x:v>1</x:v>
      </x:c>
      <x:c r="G2475" s="25" t="n">
        <x:v>0.234442</x:v>
      </x:c>
      <x:c r="H2475" t="n">
        <x:f>IF(G2475&lt;$B$6,1,0)</x:f>
        <x:v>0</x:v>
      </x:c>
      <x:c r="I2475" s="26" t="n">
        <x:f>H2475*IF(F2475=0,E2475*$B$7,-E2475*$B$8)</x:f>
        <x:v>0</x:v>
      </x:c>
    </x:row>
    <x:row r="2476">
      <x:c r="A2476" t="n">
        <x:v>9728</x:v>
      </x:c>
      <x:c r="B2476" t="str">
        <x:v>2024-12</x:v>
      </x:c>
      <x:c r="C2476" t="str">
        <x:v>Contract</x:v>
      </x:c>
      <x:c r="D2476" t="str">
        <x:v>Group B</x:v>
      </x:c>
      <x:c r="E2476" s="26" t="n">
        <x:v>7517.09</x:v>
      </x:c>
      <x:c r="F2476" t="n">
        <x:v>0</x:v>
      </x:c>
      <x:c r="G2476" s="25" t="n">
        <x:v>0.295141</x:v>
      </x:c>
      <x:c r="H2476" t="n">
        <x:f>IF(G2476&lt;$B$6,1,0)</x:f>
        <x:v>0</x:v>
      </x:c>
      <x:c r="I2476" s="26" t="n">
        <x:f>H2476*IF(F2476=0,E2476*$B$7,-E2476*$B$8)</x:f>
        <x:v>0</x:v>
      </x:c>
    </x:row>
    <x:row r="2477">
      <x:c r="A2477" t="n">
        <x:v>9731</x:v>
      </x:c>
      <x:c r="B2477" t="str">
        <x:v>2024-12</x:v>
      </x:c>
      <x:c r="C2477" t="str">
        <x:v>Self employed</x:v>
      </x:c>
      <x:c r="D2477" t="str">
        <x:v>Group B</x:v>
      </x:c>
      <x:c r="E2477" s="26" t="n">
        <x:v>11795.77</x:v>
      </x:c>
      <x:c r="F2477" t="n">
        <x:v>0</x:v>
      </x:c>
      <x:c r="G2477" s="25" t="n">
        <x:v>0.063306</x:v>
      </x:c>
      <x:c r="H2477" t="n">
        <x:f>IF(G2477&lt;$B$6,1,0)</x:f>
        <x:v>1</x:v>
      </x:c>
      <x:c r="I2477" s="26" t="n">
        <x:f>H2477*IF(F2477=0,E2477*$B$7,-E2477*$B$8)</x:f>
        <x:v>1415.4924</x:v>
      </x:c>
    </x:row>
    <x:row r="2478">
      <x:c r="A2478" t="n">
        <x:v>9739</x:v>
      </x:c>
      <x:c r="B2478" t="str">
        <x:v>2024-12</x:v>
      </x:c>
      <x:c r="C2478" t="str">
        <x:v>Salaried</x:v>
      </x:c>
      <x:c r="D2478" t="str">
        <x:v>Group B</x:v>
      </x:c>
      <x:c r="E2478" s="26" t="n">
        <x:v>11354.31</x:v>
      </x:c>
      <x:c r="F2478" t="n">
        <x:v>0</x:v>
      </x:c>
      <x:c r="G2478" s="25" t="n">
        <x:v>0.027949</x:v>
      </x:c>
      <x:c r="H2478" t="n">
        <x:f>IF(G2478&lt;$B$6,1,0)</x:f>
        <x:v>1</x:v>
      </x:c>
      <x:c r="I2478" s="26" t="n">
        <x:f>H2478*IF(F2478=0,E2478*$B$7,-E2478*$B$8)</x:f>
        <x:v>1362.5171999999998</x:v>
      </x:c>
    </x:row>
    <x:row r="2479">
      <x:c r="A2479" t="n">
        <x:v>9801</x:v>
      </x:c>
      <x:c r="B2479" t="str">
        <x:v>2024-12</x:v>
      </x:c>
      <x:c r="C2479" t="str">
        <x:v>Salaried</x:v>
      </x:c>
      <x:c r="D2479" t="str">
        <x:v>Group A</x:v>
      </x:c>
      <x:c r="E2479" s="26" t="n">
        <x:v>17818.98</x:v>
      </x:c>
      <x:c r="F2479" t="n">
        <x:v>0</x:v>
      </x:c>
      <x:c r="G2479" s="25" t="n">
        <x:v>0.133214</x:v>
      </x:c>
      <x:c r="H2479" t="n">
        <x:f>IF(G2479&lt;$B$6,1,0)</x:f>
        <x:v>1</x:v>
      </x:c>
      <x:c r="I2479" s="26" t="n">
        <x:f>H2479*IF(F2479=0,E2479*$B$7,-E2479*$B$8)</x:f>
        <x:v>2138.2776</x:v>
      </x:c>
    </x:row>
    <x:row r="2480">
      <x:c r="A2480" t="n">
        <x:v>9802</x:v>
      </x:c>
      <x:c r="B2480" t="str">
        <x:v>2024-12</x:v>
      </x:c>
      <x:c r="C2480" t="str">
        <x:v>Self employed</x:v>
      </x:c>
      <x:c r="D2480" t="str">
        <x:v>Group A</x:v>
      </x:c>
      <x:c r="E2480" s="26" t="n">
        <x:v>6300.17</x:v>
      </x:c>
      <x:c r="F2480" t="n">
        <x:v>0</x:v>
      </x:c>
      <x:c r="G2480" s="25" t="n">
        <x:v>0.173556</x:v>
      </x:c>
      <x:c r="H2480" t="n">
        <x:f>IF(G2480&lt;$B$6,1,0)</x:f>
        <x:v>0</x:v>
      </x:c>
      <x:c r="I2480" s="26" t="n">
        <x:f>H2480*IF(F2480=0,E2480*$B$7,-E2480*$B$8)</x:f>
        <x:v>0</x:v>
      </x:c>
    </x:row>
    <x:row r="2481">
      <x:c r="A2481" t="n">
        <x:v>9821</x:v>
      </x:c>
      <x:c r="B2481" t="str">
        <x:v>2024-12</x:v>
      </x:c>
      <x:c r="C2481" t="str">
        <x:v>Salaried</x:v>
      </x:c>
      <x:c r="D2481" t="str">
        <x:v>Group B</x:v>
      </x:c>
      <x:c r="E2481" s="26" t="n">
        <x:v>32506.27</x:v>
      </x:c>
      <x:c r="F2481" t="n">
        <x:v>0</x:v>
      </x:c>
      <x:c r="G2481" s="25" t="n">
        <x:v>0.080097</x:v>
      </x:c>
      <x:c r="H2481" t="n">
        <x:f>IF(G2481&lt;$B$6,1,0)</x:f>
        <x:v>1</x:v>
      </x:c>
      <x:c r="I2481" s="26" t="n">
        <x:f>H2481*IF(F2481=0,E2481*$B$7,-E2481*$B$8)</x:f>
        <x:v>3900.7524</x:v>
      </x:c>
    </x:row>
    <x:row r="2482">
      <x:c r="A2482" t="n">
        <x:v>9827</x:v>
      </x:c>
      <x:c r="B2482" t="str">
        <x:v>2024-12</x:v>
      </x:c>
      <x:c r="C2482" t="str">
        <x:v>Salaried</x:v>
      </x:c>
      <x:c r="D2482" t="str">
        <x:v>Group A</x:v>
      </x:c>
      <x:c r="E2482" s="26" t="n">
        <x:v>58498.54</x:v>
      </x:c>
      <x:c r="F2482" t="n">
        <x:v>0</x:v>
      </x:c>
      <x:c r="G2482" s="25" t="n">
        <x:v>0.113387</x:v>
      </x:c>
      <x:c r="H2482" t="n">
        <x:f>IF(G2482&lt;$B$6,1,0)</x:f>
        <x:v>1</x:v>
      </x:c>
      <x:c r="I2482" s="26" t="n">
        <x:f>H2482*IF(F2482=0,E2482*$B$7,-E2482*$B$8)</x:f>
        <x:v>7019.824799999999</x:v>
      </x:c>
    </x:row>
    <x:row r="2483">
      <x:c r="A2483" t="n">
        <x:v>9844</x:v>
      </x:c>
      <x:c r="B2483" t="str">
        <x:v>2024-12</x:v>
      </x:c>
      <x:c r="C2483" t="str">
        <x:v>Salaried</x:v>
      </x:c>
      <x:c r="D2483" t="str">
        <x:v>Group B</x:v>
      </x:c>
      <x:c r="E2483" s="26" t="n">
        <x:v>6626</x:v>
      </x:c>
      <x:c r="F2483" t="n">
        <x:v>1</x:v>
      </x:c>
      <x:c r="G2483" s="25" t="n">
        <x:v>0.421597</x:v>
      </x:c>
      <x:c r="H2483" t="n">
        <x:f>IF(G2483&lt;$B$6,1,0)</x:f>
        <x:v>0</x:v>
      </x:c>
      <x:c r="I2483" s="26" t="n">
        <x:f>H2483*IF(F2483=0,E2483*$B$7,-E2483*$B$8)</x:f>
        <x:v>0</x:v>
      </x:c>
    </x:row>
    <x:row r="2484">
      <x:c r="A2484" t="n">
        <x:v>9848</x:v>
      </x:c>
      <x:c r="B2484" t="str">
        <x:v>2024-12</x:v>
      </x:c>
      <x:c r="C2484" t="str">
        <x:v>Salaried</x:v>
      </x:c>
      <x:c r="D2484" t="str">
        <x:v>Group A</x:v>
      </x:c>
      <x:c r="E2484" s="26" t="n">
        <x:v>16787.73</x:v>
      </x:c>
      <x:c r="F2484" t="n">
        <x:v>0</x:v>
      </x:c>
      <x:c r="G2484" s="25" t="n">
        <x:v>0.208497</x:v>
      </x:c>
      <x:c r="H2484" t="n">
        <x:f>IF(G2484&lt;$B$6,1,0)</x:f>
        <x:v>0</x:v>
      </x:c>
      <x:c r="I2484" s="26" t="n">
        <x:f>H2484*IF(F2484=0,E2484*$B$7,-E2484*$B$8)</x:f>
        <x:v>0</x:v>
      </x:c>
    </x:row>
    <x:row r="2485">
      <x:c r="A2485" t="n">
        <x:v>9867</x:v>
      </x:c>
      <x:c r="B2485" t="str">
        <x:v>2024-12</x:v>
      </x:c>
      <x:c r="C2485" t="str">
        <x:v>Contract</x:v>
      </x:c>
      <x:c r="D2485" t="str">
        <x:v>Group A</x:v>
      </x:c>
      <x:c r="E2485" s="26" t="n">
        <x:v>8600.99</x:v>
      </x:c>
      <x:c r="F2485" t="n">
        <x:v>1</x:v>
      </x:c>
      <x:c r="G2485" s="25" t="n">
        <x:v>0.083443</x:v>
      </x:c>
      <x:c r="H2485" t="n">
        <x:f>IF(G2485&lt;$B$6,1,0)</x:f>
        <x:v>1</x:v>
      </x:c>
      <x:c r="I2485" s="26" t="n">
        <x:f>H2485*IF(F2485=0,E2485*$B$7,-E2485*$B$8)</x:f>
        <x:v>-5590.6435</x:v>
      </x:c>
    </x:row>
    <x:row r="2486">
      <x:c r="A2486" t="n">
        <x:v>9893</x:v>
      </x:c>
      <x:c r="B2486" t="str">
        <x:v>2024-12</x:v>
      </x:c>
      <x:c r="C2486" t="str">
        <x:v>Salaried</x:v>
      </x:c>
      <x:c r="D2486" t="str">
        <x:v>Group B</x:v>
      </x:c>
      <x:c r="E2486" s="26" t="n">
        <x:v>10732.16</x:v>
      </x:c>
      <x:c r="F2486" t="n">
        <x:v>0</x:v>
      </x:c>
      <x:c r="G2486" s="25" t="n">
        <x:v>0.461878</x:v>
      </x:c>
      <x:c r="H2486" t="n">
        <x:f>IF(G2486&lt;$B$6,1,0)</x:f>
        <x:v>0</x:v>
      </x:c>
      <x:c r="I2486" s="26" t="n">
        <x:f>H2486*IF(F2486=0,E2486*$B$7,-E2486*$B$8)</x:f>
        <x:v>0</x:v>
      </x:c>
    </x:row>
    <x:row r="2487">
      <x:c r="A2487" t="n">
        <x:v>9924</x:v>
      </x:c>
      <x:c r="B2487" t="str">
        <x:v>2024-12</x:v>
      </x:c>
      <x:c r="C2487" t="str">
        <x:v>Salaried</x:v>
      </x:c>
      <x:c r="D2487" t="str">
        <x:v>Group B</x:v>
      </x:c>
      <x:c r="E2487" s="26" t="n">
        <x:v>14039.19</x:v>
      </x:c>
      <x:c r="F2487" t="n">
        <x:v>1</x:v>
      </x:c>
      <x:c r="G2487" s="25" t="n">
        <x:v>0.229095</x:v>
      </x:c>
      <x:c r="H2487" t="n">
        <x:f>IF(G2487&lt;$B$6,1,0)</x:f>
        <x:v>0</x:v>
      </x:c>
      <x:c r="I2487" s="26" t="n">
        <x:f>H2487*IF(F2487=0,E2487*$B$7,-E2487*$B$8)</x:f>
        <x:v>0</x:v>
      </x:c>
    </x:row>
    <x:row r="2488">
      <x:c r="A2488" t="n">
        <x:v>9943</x:v>
      </x:c>
      <x:c r="B2488" t="str">
        <x:v>2024-12</x:v>
      </x:c>
      <x:c r="C2488" t="str">
        <x:v>Salaried</x:v>
      </x:c>
      <x:c r="D2488" t="str">
        <x:v>Group A</x:v>
      </x:c>
      <x:c r="E2488" s="26" t="n">
        <x:v>4529</x:v>
      </x:c>
      <x:c r="F2488" t="n">
        <x:v>1</x:v>
      </x:c>
      <x:c r="G2488" s="25" t="n">
        <x:v>0.09499</x:v>
      </x:c>
      <x:c r="H2488" t="n">
        <x:f>IF(G2488&lt;$B$6,1,0)</x:f>
        <x:v>1</x:v>
      </x:c>
      <x:c r="I2488" s="26" t="n">
        <x:f>H2488*IF(F2488=0,E2488*$B$7,-E2488*$B$8)</x:f>
        <x:v>-2943.85</x:v>
      </x:c>
    </x:row>
    <x:row r="2489">
      <x:c r="A2489" t="n">
        <x:v>9978</x:v>
      </x:c>
      <x:c r="B2489" t="str">
        <x:v>2024-12</x:v>
      </x:c>
      <x:c r="C2489" t="str">
        <x:v>Salaried</x:v>
      </x:c>
      <x:c r="D2489" t="str">
        <x:v>Group A</x:v>
      </x:c>
      <x:c r="E2489" s="26" t="n">
        <x:v>54051.4</x:v>
      </x:c>
      <x:c r="F2489" t="n">
        <x:v>1</x:v>
      </x:c>
      <x:c r="G2489" s="25" t="n">
        <x:v>0.235185</x:v>
      </x:c>
      <x:c r="H2489" t="n">
        <x:f>IF(G2489&lt;$B$6,1,0)</x:f>
        <x:v>0</x:v>
      </x:c>
      <x:c r="I2489" s="26" t="n">
        <x:f>H2489*IF(F2489=0,E2489*$B$7,-E2489*$B$8)</x:f>
        <x:v>0</x:v>
      </x:c>
    </x:row>
  </x:sheetData>
  <x:conditionalFormatting sqref="I13:I2489">
    <x:cfRule type="cellIs" dxfId="0" priority="1" operator="lessThan">
      <x:formula>0</x:formula>
    </x:cfRule>
  </x:conditionalFormatting>
  <x:dataValidations count="1">
    <x:dataValidation type="decimal" operator="between" sqref="B6:B8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c30c77e73654c60"/>
  </x:tableParts>
</x:worksheet>
</file>